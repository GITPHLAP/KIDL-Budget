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jedt\Downloads\Budget template\"/>
    </mc:Choice>
  </mc:AlternateContent>
  <xr:revisionPtr revIDLastSave="0" documentId="13_ncr:1_{BE8EAAD6-1395-4DBE-B0BE-BE26F7114813}" xr6:coauthVersionLast="47" xr6:coauthVersionMax="47" xr10:uidLastSave="{00000000-0000-0000-0000-000000000000}"/>
  <bookViews>
    <workbookView xWindow="28680" yWindow="-5580" windowWidth="51840" windowHeight="21120" xr2:uid="{00000000-000D-0000-FFFF-FFFF00000000}"/>
  </bookViews>
  <sheets>
    <sheet name="Info" sheetId="7" r:id="rId1"/>
    <sheet name="Opfølgning" sheetId="3" r:id="rId2"/>
    <sheet name="Data" sheetId="6" r:id="rId3"/>
  </sheets>
  <definedNames>
    <definedName name="ExternalData_1" localSheetId="2" hidden="1">Data!$A$15:$Y$16</definedName>
    <definedName name="ExternalData_2" localSheetId="2" hidden="1">Data!$A$9:$Y$10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0" i="3" l="1" a="1"/>
  <c r="AL10" i="3" s="1"/>
  <c r="AK10" i="3" a="1"/>
  <c r="AK10" i="3" s="1"/>
  <c r="AI10" i="3" a="1"/>
  <c r="AI10" i="3" s="1"/>
  <c r="AH10" i="3" a="1"/>
  <c r="AH10" i="3" s="1"/>
  <c r="AF10" i="3" a="1"/>
  <c r="AF10" i="3" s="1"/>
  <c r="AE10" i="3" a="1"/>
  <c r="AE10" i="3" s="1"/>
  <c r="AC10" i="3" a="1"/>
  <c r="AC10" i="3" s="1"/>
  <c r="AB10" i="3" a="1"/>
  <c r="AB10" i="3" s="1"/>
  <c r="Z10" i="3" a="1"/>
  <c r="Z10" i="3" s="1"/>
  <c r="Y10" i="3" a="1"/>
  <c r="Y10" i="3" s="1"/>
  <c r="W10" i="3" a="1"/>
  <c r="W10" i="3" s="1"/>
  <c r="V10" i="3" a="1"/>
  <c r="V10" i="3" s="1"/>
  <c r="T10" i="3" a="1"/>
  <c r="T10" i="3" s="1"/>
  <c r="S10" i="3" a="1"/>
  <c r="S10" i="3" s="1"/>
  <c r="Q10" i="3" a="1"/>
  <c r="Q10" i="3" s="1"/>
  <c r="P10" i="3" a="1"/>
  <c r="P10" i="3" s="1"/>
  <c r="N10" i="3" a="1"/>
  <c r="N10" i="3" s="1"/>
  <c r="M10" i="3" a="1"/>
  <c r="M10" i="3" s="1"/>
  <c r="K10" i="3" a="1"/>
  <c r="K10" i="3" s="1"/>
  <c r="J10" i="3" a="1"/>
  <c r="J10" i="3" s="1"/>
  <c r="H10" i="3" a="1"/>
  <c r="H10" i="3" s="1"/>
  <c r="G10" i="3" a="1"/>
  <c r="G10" i="3" s="1"/>
  <c r="AL21" i="3" a="1"/>
  <c r="AL21" i="3" s="1"/>
  <c r="AK21" i="3" a="1"/>
  <c r="AK21" i="3" s="1"/>
  <c r="AI21" i="3" a="1"/>
  <c r="AI21" i="3" s="1"/>
  <c r="AH21" i="3" a="1"/>
  <c r="AH21" i="3" s="1"/>
  <c r="AF21" i="3" a="1"/>
  <c r="AF21" i="3" s="1"/>
  <c r="AE21" i="3" a="1"/>
  <c r="AE21" i="3" s="1"/>
  <c r="AC21" i="3" a="1"/>
  <c r="AC21" i="3" s="1"/>
  <c r="AB21" i="3" a="1"/>
  <c r="AB21" i="3" s="1"/>
  <c r="Z21" i="3" a="1"/>
  <c r="Z21" i="3" s="1"/>
  <c r="Y21" i="3" a="1"/>
  <c r="Y21" i="3" s="1"/>
  <c r="W21" i="3" a="1"/>
  <c r="W21" i="3" s="1"/>
  <c r="V21" i="3" a="1"/>
  <c r="V21" i="3" s="1"/>
  <c r="T21" i="3" a="1"/>
  <c r="T21" i="3" s="1"/>
  <c r="S21" i="3" a="1"/>
  <c r="S21" i="3" s="1"/>
  <c r="Q21" i="3" a="1"/>
  <c r="Q21" i="3" s="1"/>
  <c r="P21" i="3" a="1"/>
  <c r="P21" i="3" s="1"/>
  <c r="N21" i="3" a="1"/>
  <c r="N21" i="3" s="1"/>
  <c r="M21" i="3" a="1"/>
  <c r="M21" i="3" s="1"/>
  <c r="E10" i="3" a="1"/>
  <c r="E10" i="3" s="1"/>
  <c r="D10" i="3" a="1"/>
  <c r="D10" i="3" s="1"/>
  <c r="K21" i="3" a="1"/>
  <c r="K21" i="3" s="1"/>
  <c r="J21" i="3" a="1"/>
  <c r="J21" i="3" s="1"/>
  <c r="H21" i="3" a="1"/>
  <c r="H21" i="3" s="1"/>
  <c r="G21" i="3" a="1"/>
  <c r="G21" i="3" s="1"/>
  <c r="E21" i="3" a="1"/>
  <c r="E21" i="3" s="1"/>
  <c r="D21" i="3" a="1"/>
  <c r="D21" i="3" s="1"/>
  <c r="A10" i="3" a="1"/>
  <c r="A10" i="3" s="1"/>
  <c r="W18" i="3" l="1"/>
  <c r="K18" i="3"/>
  <c r="H18" i="3"/>
  <c r="E18" i="3"/>
  <c r="AL47" i="3"/>
  <c r="AI47" i="3"/>
  <c r="AF47" i="3"/>
  <c r="AC47" i="3"/>
  <c r="Z47" i="3"/>
  <c r="W47" i="3"/>
  <c r="T47" i="3"/>
  <c r="Q47" i="3"/>
  <c r="N47" i="3"/>
  <c r="E47" i="3"/>
  <c r="K47" i="3"/>
  <c r="H47" i="3"/>
  <c r="D47" i="3"/>
  <c r="A21" i="3" a="1"/>
  <c r="A21" i="3" s="1"/>
  <c r="E49" i="3"/>
  <c r="Q18" i="3" l="1"/>
  <c r="R12" i="3"/>
  <c r="R15" i="3"/>
  <c r="T18" i="3"/>
  <c r="U12" i="3"/>
  <c r="U14" i="3"/>
  <c r="U17" i="3"/>
  <c r="U11" i="3"/>
  <c r="U15" i="3"/>
  <c r="Z18" i="3"/>
  <c r="AA13" i="3"/>
  <c r="AA11" i="3"/>
  <c r="AA14" i="3"/>
  <c r="AA16" i="3"/>
  <c r="AA17" i="3"/>
  <c r="AC18" i="3"/>
  <c r="AD13" i="3"/>
  <c r="AD15" i="3"/>
  <c r="AD16" i="3"/>
  <c r="AD17" i="3"/>
  <c r="AF18" i="3"/>
  <c r="AG11" i="3"/>
  <c r="AG12" i="3"/>
  <c r="AG16" i="3"/>
  <c r="AG13" i="3"/>
  <c r="AG14" i="3"/>
  <c r="AG15" i="3"/>
  <c r="AG17" i="3"/>
  <c r="AI18" i="3"/>
  <c r="AJ17" i="3"/>
  <c r="AL18" i="3"/>
  <c r="AM11" i="3"/>
  <c r="AM12" i="3"/>
  <c r="AM13" i="3"/>
  <c r="AM14" i="3"/>
  <c r="AM15" i="3"/>
  <c r="AM16" i="3"/>
  <c r="AM17" i="3"/>
  <c r="AD12" i="3"/>
  <c r="AJ16" i="3"/>
  <c r="AD11" i="3"/>
  <c r="AJ14" i="3"/>
  <c r="AJ13" i="3"/>
  <c r="AD14" i="3"/>
  <c r="AJ11" i="3"/>
  <c r="N18" i="3"/>
  <c r="X13" i="3"/>
  <c r="X16" i="3"/>
  <c r="X12" i="3"/>
  <c r="X15" i="3"/>
  <c r="AA12" i="3"/>
  <c r="AA15" i="3"/>
  <c r="L17" i="3"/>
  <c r="R11" i="3"/>
  <c r="R14" i="3"/>
  <c r="R17" i="3"/>
  <c r="L16" i="3"/>
  <c r="L15" i="3"/>
  <c r="X11" i="3"/>
  <c r="AJ12" i="3"/>
  <c r="X14" i="3"/>
  <c r="AJ15" i="3"/>
  <c r="X17" i="3"/>
  <c r="L14" i="3"/>
  <c r="L13" i="3"/>
  <c r="R13" i="3"/>
  <c r="R16" i="3"/>
  <c r="L12" i="3"/>
  <c r="U13" i="3"/>
  <c r="U16" i="3"/>
  <c r="L11" i="3"/>
  <c r="O14" i="3"/>
  <c r="O17" i="3"/>
  <c r="O16" i="3"/>
  <c r="O13" i="3"/>
  <c r="O12" i="3"/>
  <c r="O11" i="3"/>
  <c r="O15" i="3"/>
  <c r="AO17" i="3"/>
  <c r="I17" i="3"/>
  <c r="AO15" i="3"/>
  <c r="I15" i="3"/>
  <c r="AO11" i="3"/>
  <c r="I11" i="3"/>
  <c r="I16" i="3"/>
  <c r="AO16" i="3"/>
  <c r="I14" i="3"/>
  <c r="AO14" i="3"/>
  <c r="AO13" i="3"/>
  <c r="I13" i="3"/>
  <c r="AO12" i="3"/>
  <c r="I12" i="3"/>
  <c r="F11" i="3"/>
  <c r="AN11" i="3"/>
  <c r="F12" i="3"/>
  <c r="AN12" i="3"/>
  <c r="F17" i="3"/>
  <c r="AN17" i="3"/>
  <c r="F14" i="3"/>
  <c r="AN14" i="3"/>
  <c r="F13" i="3"/>
  <c r="AN13" i="3"/>
  <c r="F16" i="3"/>
  <c r="AN16" i="3"/>
  <c r="F15" i="3"/>
  <c r="AN15" i="3"/>
  <c r="X38" i="3"/>
  <c r="U27" i="3"/>
  <c r="X25" i="3"/>
  <c r="AA25" i="3"/>
  <c r="AD23" i="3"/>
  <c r="AG36" i="3"/>
  <c r="U40" i="3"/>
  <c r="X26" i="3"/>
  <c r="AG35" i="3"/>
  <c r="L34" i="3"/>
  <c r="R28" i="3"/>
  <c r="AA38" i="3"/>
  <c r="AG23" i="3"/>
  <c r="AA37" i="3"/>
  <c r="AG22" i="3"/>
  <c r="L35" i="3"/>
  <c r="U39" i="3"/>
  <c r="AA24" i="3"/>
  <c r="AJ35" i="3"/>
  <c r="AJ34" i="3"/>
  <c r="U26" i="3"/>
  <c r="AD37" i="3"/>
  <c r="AJ22" i="3"/>
  <c r="AD36" i="3"/>
  <c r="X39" i="3"/>
  <c r="AD24" i="3"/>
  <c r="AM34" i="3"/>
  <c r="F24" i="3"/>
  <c r="R42" i="3"/>
  <c r="O40" i="3"/>
  <c r="O27" i="3"/>
  <c r="R39" i="3"/>
  <c r="R26" i="3"/>
  <c r="U38" i="3"/>
  <c r="U25" i="3"/>
  <c r="X37" i="3"/>
  <c r="X24" i="3"/>
  <c r="AA36" i="3"/>
  <c r="AA23" i="3"/>
  <c r="AD35" i="3"/>
  <c r="AD22" i="3"/>
  <c r="AG34" i="3"/>
  <c r="AJ33" i="3"/>
  <c r="AM45" i="3"/>
  <c r="AM32" i="3"/>
  <c r="O39" i="3"/>
  <c r="O26" i="3"/>
  <c r="R38" i="3"/>
  <c r="R25" i="3"/>
  <c r="U37" i="3"/>
  <c r="U24" i="3"/>
  <c r="X36" i="3"/>
  <c r="X23" i="3"/>
  <c r="AA35" i="3"/>
  <c r="AA22" i="3"/>
  <c r="AD34" i="3"/>
  <c r="AG33" i="3"/>
  <c r="AJ45" i="3"/>
  <c r="AJ32" i="3"/>
  <c r="AM44" i="3"/>
  <c r="AM30" i="3"/>
  <c r="O43" i="3"/>
  <c r="O42" i="3"/>
  <c r="O38" i="3"/>
  <c r="O25" i="3"/>
  <c r="R37" i="3"/>
  <c r="R24" i="3"/>
  <c r="U36" i="3"/>
  <c r="U23" i="3"/>
  <c r="X35" i="3"/>
  <c r="X22" i="3"/>
  <c r="AA34" i="3"/>
  <c r="AD33" i="3"/>
  <c r="AG45" i="3"/>
  <c r="AG32" i="3"/>
  <c r="AJ44" i="3"/>
  <c r="AJ30" i="3"/>
  <c r="AM43" i="3"/>
  <c r="AM29" i="3"/>
  <c r="O37" i="3"/>
  <c r="O24" i="3"/>
  <c r="R36" i="3"/>
  <c r="R23" i="3"/>
  <c r="U35" i="3"/>
  <c r="U22" i="3"/>
  <c r="X34" i="3"/>
  <c r="AA33" i="3"/>
  <c r="AD45" i="3"/>
  <c r="AD32" i="3"/>
  <c r="AG44" i="3"/>
  <c r="AG30" i="3"/>
  <c r="AJ43" i="3"/>
  <c r="AJ29" i="3"/>
  <c r="AM42" i="3"/>
  <c r="AM28" i="3"/>
  <c r="L29" i="3"/>
  <c r="L42" i="3"/>
  <c r="O36" i="3"/>
  <c r="O23" i="3"/>
  <c r="R35" i="3"/>
  <c r="R22" i="3"/>
  <c r="U34" i="3"/>
  <c r="X33" i="3"/>
  <c r="AA45" i="3"/>
  <c r="AA32" i="3"/>
  <c r="AD44" i="3"/>
  <c r="AD30" i="3"/>
  <c r="AG43" i="3"/>
  <c r="AG29" i="3"/>
  <c r="AJ42" i="3"/>
  <c r="AJ28" i="3"/>
  <c r="AM40" i="3"/>
  <c r="AM27" i="3"/>
  <c r="O28" i="3"/>
  <c r="L28" i="3"/>
  <c r="F29" i="3"/>
  <c r="O35" i="3"/>
  <c r="O22" i="3"/>
  <c r="R34" i="3"/>
  <c r="U33" i="3"/>
  <c r="X45" i="3"/>
  <c r="X32" i="3"/>
  <c r="AA44" i="3"/>
  <c r="AA30" i="3"/>
  <c r="AD43" i="3"/>
  <c r="AD29" i="3"/>
  <c r="AG42" i="3"/>
  <c r="AG28" i="3"/>
  <c r="AJ40" i="3"/>
  <c r="AJ27" i="3"/>
  <c r="AM39" i="3"/>
  <c r="AM26" i="3"/>
  <c r="O29" i="3"/>
  <c r="F23" i="3"/>
  <c r="F35" i="3"/>
  <c r="L45" i="3"/>
  <c r="L30" i="3"/>
  <c r="F34" i="3"/>
  <c r="L44" i="3"/>
  <c r="F32" i="3"/>
  <c r="L43" i="3"/>
  <c r="F45" i="3"/>
  <c r="F30" i="3"/>
  <c r="L27" i="3"/>
  <c r="L40" i="3"/>
  <c r="F28" i="3"/>
  <c r="L25" i="3"/>
  <c r="R33" i="3"/>
  <c r="U45" i="3"/>
  <c r="U32" i="3"/>
  <c r="X44" i="3"/>
  <c r="X30" i="3"/>
  <c r="AA43" i="3"/>
  <c r="AA29" i="3"/>
  <c r="AD42" i="3"/>
  <c r="AD28" i="3"/>
  <c r="AG40" i="3"/>
  <c r="AG27" i="3"/>
  <c r="AJ39" i="3"/>
  <c r="AJ26" i="3"/>
  <c r="AM38" i="3"/>
  <c r="AM25" i="3"/>
  <c r="R27" i="3"/>
  <c r="F22" i="3"/>
  <c r="O33" i="3"/>
  <c r="R45" i="3"/>
  <c r="R32" i="3"/>
  <c r="U44" i="3"/>
  <c r="U30" i="3"/>
  <c r="X43" i="3"/>
  <c r="X29" i="3"/>
  <c r="AA42" i="3"/>
  <c r="AA28" i="3"/>
  <c r="AD40" i="3"/>
  <c r="AD27" i="3"/>
  <c r="AG39" i="3"/>
  <c r="AG26" i="3"/>
  <c r="AJ38" i="3"/>
  <c r="AJ25" i="3"/>
  <c r="AM37" i="3"/>
  <c r="AM24" i="3"/>
  <c r="F37" i="3"/>
  <c r="R40" i="3"/>
  <c r="AM33" i="3"/>
  <c r="F36" i="3"/>
  <c r="L33" i="3"/>
  <c r="F44" i="3"/>
  <c r="L26" i="3"/>
  <c r="F43" i="3"/>
  <c r="L39" i="3"/>
  <c r="O34" i="3"/>
  <c r="AN33" i="3"/>
  <c r="F42" i="3"/>
  <c r="F27" i="3"/>
  <c r="L38" i="3"/>
  <c r="L24" i="3"/>
  <c r="AN24" i="3"/>
  <c r="F40" i="3"/>
  <c r="F26" i="3"/>
  <c r="L37" i="3"/>
  <c r="L23" i="3"/>
  <c r="O45" i="3"/>
  <c r="O32" i="3"/>
  <c r="R44" i="3"/>
  <c r="R30" i="3"/>
  <c r="U43" i="3"/>
  <c r="U29" i="3"/>
  <c r="X42" i="3"/>
  <c r="X28" i="3"/>
  <c r="AA40" i="3"/>
  <c r="AA27" i="3"/>
  <c r="AD39" i="3"/>
  <c r="AD26" i="3"/>
  <c r="AG38" i="3"/>
  <c r="AG25" i="3"/>
  <c r="AJ37" i="3"/>
  <c r="AJ24" i="3"/>
  <c r="AM36" i="3"/>
  <c r="AM23" i="3"/>
  <c r="F38" i="3"/>
  <c r="F39" i="3"/>
  <c r="F25" i="3"/>
  <c r="L36" i="3"/>
  <c r="L22" i="3"/>
  <c r="O44" i="3"/>
  <c r="O30" i="3"/>
  <c r="R43" i="3"/>
  <c r="R29" i="3"/>
  <c r="U42" i="3"/>
  <c r="U28" i="3"/>
  <c r="X40" i="3"/>
  <c r="X27" i="3"/>
  <c r="AA39" i="3"/>
  <c r="AA26" i="3"/>
  <c r="AD38" i="3"/>
  <c r="AD25" i="3"/>
  <c r="AG37" i="3"/>
  <c r="AG24" i="3"/>
  <c r="AJ36" i="3"/>
  <c r="AJ23" i="3"/>
  <c r="AM35" i="3"/>
  <c r="AM22" i="3"/>
  <c r="O21" i="3"/>
  <c r="AO31" i="3"/>
  <c r="F31" i="3"/>
  <c r="AO41" i="3"/>
  <c r="F41" i="3"/>
  <c r="AO33" i="3"/>
  <c r="F33" i="3"/>
  <c r="E50" i="3"/>
  <c r="I42" i="3"/>
  <c r="AO42" i="3"/>
  <c r="AO30" i="3"/>
  <c r="I30" i="3"/>
  <c r="I29" i="3"/>
  <c r="AO29" i="3"/>
  <c r="I44" i="3"/>
  <c r="AO44" i="3"/>
  <c r="AO43" i="3"/>
  <c r="I43" i="3"/>
  <c r="I40" i="3"/>
  <c r="AO40" i="3"/>
  <c r="I28" i="3"/>
  <c r="AO28" i="3"/>
  <c r="I39" i="3"/>
  <c r="AO39" i="3"/>
  <c r="I27" i="3"/>
  <c r="AO27" i="3"/>
  <c r="I38" i="3"/>
  <c r="AO38" i="3"/>
  <c r="AO26" i="3"/>
  <c r="I26" i="3"/>
  <c r="I37" i="3"/>
  <c r="AO37" i="3"/>
  <c r="AO25" i="3"/>
  <c r="I25" i="3"/>
  <c r="I36" i="3"/>
  <c r="AO36" i="3"/>
  <c r="I24" i="3"/>
  <c r="AO24" i="3"/>
  <c r="I35" i="3"/>
  <c r="AO35" i="3"/>
  <c r="AO23" i="3"/>
  <c r="I23" i="3"/>
  <c r="AO45" i="3"/>
  <c r="I45" i="3"/>
  <c r="AO32" i="3"/>
  <c r="I32" i="3"/>
  <c r="I34" i="3"/>
  <c r="AO34" i="3"/>
  <c r="AO22" i="3"/>
  <c r="I22" i="3"/>
  <c r="L21" i="3"/>
  <c r="I21" i="3"/>
  <c r="AN42" i="3"/>
  <c r="I33" i="3"/>
  <c r="AN27" i="3"/>
  <c r="AN39" i="3"/>
  <c r="AN30" i="3"/>
  <c r="AN36" i="3"/>
  <c r="AN45" i="3"/>
  <c r="AN32" i="3"/>
  <c r="AN37" i="3"/>
  <c r="AN26" i="3"/>
  <c r="AN43" i="3"/>
  <c r="AN34" i="3"/>
  <c r="AN38" i="3"/>
  <c r="AN29" i="3"/>
  <c r="AN23" i="3"/>
  <c r="AN25" i="3"/>
  <c r="AN22" i="3"/>
  <c r="AN35" i="3"/>
  <c r="AN40" i="3"/>
  <c r="AN44" i="3"/>
  <c r="AN28" i="3"/>
  <c r="L32" i="3"/>
  <c r="F21" i="3"/>
  <c r="AM10" i="3"/>
  <c r="AJ10" i="3"/>
  <c r="AD10" i="3"/>
  <c r="AA10" i="3"/>
  <c r="X10" i="3"/>
  <c r="U10" i="3"/>
  <c r="R10" i="3"/>
  <c r="O10" i="3"/>
  <c r="L10" i="3"/>
  <c r="I10" i="3"/>
  <c r="F10" i="3"/>
  <c r="AO21" i="3"/>
  <c r="AO10" i="3" l="1"/>
  <c r="AO18" i="3" s="1"/>
  <c r="C4" i="3" s="1"/>
  <c r="AG10" i="3"/>
  <c r="AG18" i="3" s="1"/>
  <c r="AP17" i="3"/>
  <c r="AP15" i="3"/>
  <c r="AP14" i="3"/>
  <c r="AP16" i="3"/>
  <c r="AP13" i="3"/>
  <c r="AP12" i="3"/>
  <c r="AP11" i="3"/>
  <c r="AP42" i="3"/>
  <c r="AP36" i="3"/>
  <c r="AP29" i="3"/>
  <c r="AP30" i="3"/>
  <c r="AP27" i="3"/>
  <c r="AP24" i="3"/>
  <c r="AP34" i="3"/>
  <c r="AP39" i="3"/>
  <c r="AP25" i="3"/>
  <c r="AP45" i="3"/>
  <c r="AP37" i="3"/>
  <c r="AP40" i="3"/>
  <c r="AP43" i="3"/>
  <c r="AP23" i="3"/>
  <c r="F47" i="3"/>
  <c r="AP28" i="3"/>
  <c r="AP26" i="3"/>
  <c r="AP35" i="3"/>
  <c r="AP38" i="3"/>
  <c r="AP44" i="3"/>
  <c r="AP22" i="3"/>
  <c r="AP33" i="3"/>
  <c r="AO47" i="3"/>
  <c r="AP32" i="3"/>
  <c r="R21" i="3"/>
  <c r="AJ21" i="3"/>
  <c r="AM21" i="3"/>
  <c r="U21" i="3"/>
  <c r="AD21" i="3"/>
  <c r="AG21" i="3"/>
  <c r="AA21" i="3"/>
  <c r="X21" i="3"/>
  <c r="H49" i="3"/>
  <c r="H50" i="3" s="1"/>
  <c r="K49" i="3" s="1"/>
  <c r="K50" i="3" s="1"/>
  <c r="X18" i="3"/>
  <c r="I18" i="3"/>
  <c r="U18" i="3"/>
  <c r="AJ18" i="3"/>
  <c r="AD18" i="3"/>
  <c r="AK18" i="3"/>
  <c r="AM18" i="3"/>
  <c r="P18" i="3"/>
  <c r="R18" i="3"/>
  <c r="AE18" i="3"/>
  <c r="M18" i="3"/>
  <c r="O18" i="3"/>
  <c r="J18" i="3"/>
  <c r="L18" i="3"/>
  <c r="AA18" i="3"/>
  <c r="AH18" i="3"/>
  <c r="G18" i="3"/>
  <c r="V18" i="3"/>
  <c r="S18" i="3"/>
  <c r="Y18" i="3"/>
  <c r="AB18" i="3"/>
  <c r="F18" i="3"/>
  <c r="AN21" i="3"/>
  <c r="AN10" i="3"/>
  <c r="D18" i="3"/>
  <c r="D50" i="3" s="1"/>
  <c r="F50" i="3" s="1"/>
  <c r="L41" i="3"/>
  <c r="O41" i="3"/>
  <c r="R41" i="3"/>
  <c r="U41" i="3"/>
  <c r="X41" i="3"/>
  <c r="AA41" i="3"/>
  <c r="AD41" i="3"/>
  <c r="AG41" i="3"/>
  <c r="AJ41" i="3"/>
  <c r="AM41" i="3"/>
  <c r="G47" i="3"/>
  <c r="L31" i="3"/>
  <c r="O31" i="3"/>
  <c r="R31" i="3"/>
  <c r="U31" i="3"/>
  <c r="X31" i="3"/>
  <c r="AA31" i="3"/>
  <c r="AD31" i="3"/>
  <c r="AG31" i="3"/>
  <c r="AJ31" i="3"/>
  <c r="AM31" i="3"/>
  <c r="N49" i="3" l="1"/>
  <c r="N50" i="3" s="1"/>
  <c r="AP10" i="3"/>
  <c r="AP18" i="3" s="1"/>
  <c r="G49" i="3"/>
  <c r="G50" i="3" s="1"/>
  <c r="AE47" i="3"/>
  <c r="AG47" i="3"/>
  <c r="AB47" i="3"/>
  <c r="AD47" i="3"/>
  <c r="L47" i="3"/>
  <c r="I41" i="3"/>
  <c r="AP41" i="3" s="1"/>
  <c r="AN41" i="3"/>
  <c r="J47" i="3"/>
  <c r="M47" i="3"/>
  <c r="O47" i="3"/>
  <c r="S47" i="3"/>
  <c r="V47" i="3"/>
  <c r="U47" i="3"/>
  <c r="X47" i="3"/>
  <c r="AK47" i="3"/>
  <c r="AM47" i="3"/>
  <c r="AH47" i="3"/>
  <c r="I31" i="3"/>
  <c r="AP31" i="3" s="1"/>
  <c r="AN31" i="3"/>
  <c r="AJ47" i="3"/>
  <c r="Y47" i="3"/>
  <c r="P47" i="3"/>
  <c r="AA47" i="3"/>
  <c r="R47" i="3"/>
  <c r="B4" i="3"/>
  <c r="AP21" i="3"/>
  <c r="AN18" i="3"/>
  <c r="I50" i="3" l="1"/>
  <c r="J49" i="3"/>
  <c r="J50" i="3" s="1"/>
  <c r="Q49" i="3"/>
  <c r="Q50" i="3" s="1"/>
  <c r="AN47" i="3"/>
  <c r="AP47" i="3"/>
  <c r="I47" i="3"/>
  <c r="C5" i="3"/>
  <c r="T49" i="3" l="1"/>
  <c r="T50" i="3" s="1"/>
  <c r="M49" i="3"/>
  <c r="M50" i="3" s="1"/>
  <c r="L50" i="3"/>
  <c r="B5" i="3"/>
  <c r="C6" i="3"/>
  <c r="B6" i="3" s="1"/>
  <c r="W49" i="3" l="1"/>
  <c r="W50" i="3" s="1"/>
  <c r="P49" i="3"/>
  <c r="P50" i="3" s="1"/>
  <c r="O50" i="3"/>
  <c r="S49" i="3" l="1"/>
  <c r="S50" i="3" s="1"/>
  <c r="R50" i="3"/>
  <c r="Z49" i="3"/>
  <c r="Z50" i="3" s="1"/>
  <c r="AC49" i="3" l="1"/>
  <c r="AC50" i="3" s="1"/>
  <c r="V49" i="3"/>
  <c r="V50" i="3" s="1"/>
  <c r="U50" i="3"/>
  <c r="Y49" i="3" l="1"/>
  <c r="Y50" i="3" s="1"/>
  <c r="X50" i="3"/>
  <c r="AF49" i="3"/>
  <c r="AF50" i="3" s="1"/>
  <c r="AI49" i="3" l="1"/>
  <c r="AI50" i="3" s="1"/>
  <c r="AB49" i="3"/>
  <c r="AB50" i="3" s="1"/>
  <c r="AA50" i="3"/>
  <c r="AE49" i="3" l="1"/>
  <c r="AE50" i="3" s="1"/>
  <c r="AD50" i="3"/>
  <c r="AL49" i="3"/>
  <c r="AL50" i="3" s="1"/>
  <c r="AO49" i="3" l="1"/>
  <c r="AO50" i="3" s="1"/>
  <c r="AH49" i="3"/>
  <c r="AH50" i="3" s="1"/>
  <c r="AG50" i="3"/>
  <c r="AK49" i="3" l="1"/>
  <c r="AK50" i="3" s="1"/>
  <c r="AJ50" i="3"/>
  <c r="AN49" i="3" l="1"/>
  <c r="AN50" i="3" s="1"/>
  <c r="AP50" i="3" s="1"/>
  <c r="AM5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50B895-4A8B-4172-9470-3D1B036A325F}" keepAlive="1" name="Query - expenses" description="Connection to the 'expenses' query in the workbook." type="5" refreshedVersion="8" background="1" saveData="1">
    <dbPr connection="Provider=Microsoft.Mashup.OleDb.1;Data Source=$Workbook$;Location=expenses;Extended Properties=&quot;&quot;" command="SELECT * FROM [expenses]"/>
  </connection>
  <connection id="2" xr16:uid="{0F02ED2F-AFB4-41F9-A584-12250210F6F0}" keepAlive="1" name="Query - income" description="Connection to the 'income' query in the workbook." type="5" refreshedVersion="8" background="1" saveData="1">
    <dbPr connection="Provider=Microsoft.Mashup.OleDb.1;Data Source=$Workbook$;Location=income;Extended Properties=&quot;&quot;" command="SELECT * FROM [income]"/>
  </connection>
  <connection id="3" xr16:uid="{B92D2C68-3617-4C26-ACB1-D55EFCCEAEE1}" keepAlive="1" name="Query - RootPath" description="Connection to the 'RootPath' query in the workbook." type="5" refreshedVersion="0" background="1">
    <dbPr connection="Provider=Microsoft.Mashup.OleDb.1;Data Source=$Workbook$;Location=RootPath;Extended Properties=&quot;&quot;" command="SELECT * FROM [RootPath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<sst xmlns="http://schemas.openxmlformats.org/spreadsheetml/2006/main" count="119" uniqueCount="56">
  <si>
    <t>Maj</t>
  </si>
  <si>
    <t>I alt</t>
  </si>
  <si>
    <t>Indkomst efter skat</t>
  </si>
  <si>
    <t>Overblik</t>
  </si>
  <si>
    <t>Gennemsnit pr. md.</t>
  </si>
  <si>
    <t>I alt om året</t>
  </si>
  <si>
    <t>Udgifter</t>
  </si>
  <si>
    <t>Over-/underskud</t>
  </si>
  <si>
    <t>I alt udgifter</t>
  </si>
  <si>
    <t>Overført over-/underskud fra sidste mdr.</t>
  </si>
  <si>
    <t>"Over-/underskud på kontoen"</t>
  </si>
  <si>
    <t>Total indkomst efter skat</t>
  </si>
  <si>
    <t>Budget</t>
  </si>
  <si>
    <t>Realiseret</t>
  </si>
  <si>
    <t>Difference</t>
  </si>
  <si>
    <t>Februar</t>
  </si>
  <si>
    <t>Januar</t>
  </si>
  <si>
    <t>Marts</t>
  </si>
  <si>
    <t>April</t>
  </si>
  <si>
    <t>Juni</t>
  </si>
  <si>
    <t>Juli</t>
  </si>
  <si>
    <t>August</t>
  </si>
  <si>
    <t>September</t>
  </si>
  <si>
    <t>Oktober</t>
  </si>
  <si>
    <t>November</t>
  </si>
  <si>
    <t>December</t>
  </si>
  <si>
    <t>Budgetopfølgning</t>
  </si>
  <si>
    <t>category</t>
  </si>
  <si>
    <t>month1PlanSum</t>
  </si>
  <si>
    <t>month1ActualSum</t>
  </si>
  <si>
    <t>month2PlanSum</t>
  </si>
  <si>
    <t>month2ActualSum</t>
  </si>
  <si>
    <t>month3PlanSum</t>
  </si>
  <si>
    <t>month3ActualSum</t>
  </si>
  <si>
    <t>month4PlanSum</t>
  </si>
  <si>
    <t>month4ActualSum</t>
  </si>
  <si>
    <t>month5PlanSum</t>
  </si>
  <si>
    <t>month5ActualSum</t>
  </si>
  <si>
    <t>month6PlanSum</t>
  </si>
  <si>
    <t>month6ActualSum</t>
  </si>
  <si>
    <t>month7PlanSum</t>
  </si>
  <si>
    <t>month7ActualSum</t>
  </si>
  <si>
    <t>month8PlanSum</t>
  </si>
  <si>
    <t>month8ActualSum</t>
  </si>
  <si>
    <t>month9PlanSum</t>
  </si>
  <si>
    <t>month9ActualSum</t>
  </si>
  <si>
    <t>month10PlanSum</t>
  </si>
  <si>
    <t>month10ActualSum</t>
  </si>
  <si>
    <t>month11PlanSum</t>
  </si>
  <si>
    <t>month11ActualSum</t>
  </si>
  <si>
    <t>month12PlanSum</t>
  </si>
  <si>
    <t>month12ActualSum</t>
  </si>
  <si>
    <t>Det skal instilles til fil stien denne fil ligger i</t>
  </si>
  <si>
    <t>Husk at instille parameteret RootPath</t>
  </si>
  <si>
    <t>Derudover husk også at sætte over/underskud feltet som har følgende farve</t>
  </si>
  <si>
    <t>Dette ark kan slettes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</si>
</sst>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k_r_-;\-* #,##0.00\ _k_r_-;_-* &quot;-&quot;??\ _k_r_-;_-@_-"/>
    <numFmt numFmtId="165" formatCode="_-* #,##0\ _k_r_-;\-* #,##0\ _k_r_-;_-* &quot;-&quot;??\ _k_r_-;_-@_-"/>
    <numFmt numFmtId="166" formatCode="_-* #,##0\ &quot;kr.&quot;_-;\-* #,##0\ &quot;kr.&quot;_-;_-* &quot;-&quot;??\ &quot;kr.&quot;_-;_-@_-"/>
    <numFmt numFmtId="167" formatCode="#,##0\ &quot;kr.&quot;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22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8"/>
      <name val="Arial"/>
    </font>
    <font>
      <sz val="18"/>
      <color theme="3"/>
      <name val="Cambria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0000A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BD9CA"/>
        <bgColor indexed="64"/>
      </patternFill>
    </fill>
    <fill>
      <patternFill patternType="solid">
        <fgColor rgb="FFF0C1AE"/>
        <bgColor indexed="64"/>
      </patternFill>
    </fill>
    <fill>
      <patternFill patternType="solid">
        <fgColor rgb="FFFDEC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 style="thin">
        <color theme="3"/>
      </left>
      <right style="thick">
        <color theme="3"/>
      </right>
      <top style="thin">
        <color theme="3"/>
      </top>
      <bottom style="thin">
        <color theme="3"/>
      </bottom>
      <diagonal/>
    </border>
    <border>
      <left/>
      <right style="thick">
        <color theme="0"/>
      </right>
      <top/>
      <bottom/>
      <diagonal/>
    </border>
    <border>
      <left style="thin">
        <color theme="3"/>
      </left>
      <right style="thick">
        <color theme="0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/>
      <right style="thick">
        <color theme="0"/>
      </right>
      <top style="thin">
        <color theme="3"/>
      </top>
      <bottom style="thin">
        <color theme="3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" fillId="8" borderId="0" applyNumberFormat="0" applyBorder="0" applyAlignment="0" applyProtection="0"/>
    <xf numFmtId="0" fontId="2" fillId="9" borderId="0"/>
  </cellStyleXfs>
  <cellXfs count="64">
    <xf numFmtId="0" fontId="0" fillId="0" borderId="0" xfId="0"/>
    <xf numFmtId="0" fontId="4" fillId="2" borderId="6" xfId="0" applyFont="1" applyFill="1" applyBorder="1"/>
    <xf numFmtId="0" fontId="3" fillId="6" borderId="0" xfId="0" applyFont="1" applyFill="1"/>
    <xf numFmtId="0" fontId="2" fillId="6" borderId="0" xfId="0" applyFont="1" applyFill="1"/>
    <xf numFmtId="0" fontId="2" fillId="2" borderId="1" xfId="0" applyFont="1" applyFill="1" applyBorder="1"/>
    <xf numFmtId="0" fontId="2" fillId="5" borderId="6" xfId="0" applyFont="1" applyFill="1" applyBorder="1"/>
    <xf numFmtId="0" fontId="2" fillId="6" borderId="0" xfId="2" applyNumberFormat="1" applyFont="1" applyFill="1"/>
    <xf numFmtId="165" fontId="2" fillId="6" borderId="0" xfId="1" applyNumberFormat="1" applyFont="1" applyFill="1" applyBorder="1"/>
    <xf numFmtId="0" fontId="4" fillId="2" borderId="7" xfId="0" applyFont="1" applyFill="1" applyBorder="1"/>
    <xf numFmtId="0" fontId="2" fillId="7" borderId="0" xfId="0" applyFont="1" applyFill="1" applyProtection="1">
      <protection locked="0"/>
    </xf>
    <xf numFmtId="165" fontId="2" fillId="7" borderId="0" xfId="1" applyNumberFormat="1" applyFont="1" applyFill="1" applyBorder="1" applyProtection="1">
      <protection locked="0"/>
    </xf>
    <xf numFmtId="165" fontId="2" fillId="7" borderId="0" xfId="1" applyNumberFormat="1" applyFont="1" applyFill="1" applyBorder="1" applyProtection="1"/>
    <xf numFmtId="0" fontId="2" fillId="7" borderId="0" xfId="0" applyFont="1" applyFill="1"/>
    <xf numFmtId="0" fontId="3" fillId="7" borderId="0" xfId="0" applyFont="1" applyFill="1"/>
    <xf numFmtId="166" fontId="2" fillId="5" borderId="6" xfId="1" applyNumberFormat="1" applyFont="1" applyFill="1" applyBorder="1" applyProtection="1"/>
    <xf numFmtId="167" fontId="2" fillId="5" borderId="6" xfId="1" applyNumberFormat="1" applyFont="1" applyFill="1" applyBorder="1"/>
    <xf numFmtId="0" fontId="2" fillId="6" borderId="0" xfId="0" applyFont="1" applyFill="1" applyAlignment="1">
      <alignment vertical="center"/>
    </xf>
    <xf numFmtId="0" fontId="2" fillId="6" borderId="0" xfId="2" applyNumberFormat="1" applyFont="1" applyFill="1" applyAlignment="1">
      <alignment vertical="center"/>
    </xf>
    <xf numFmtId="0" fontId="3" fillId="6" borderId="0" xfId="0" applyFont="1" applyFill="1" applyAlignment="1">
      <alignment vertical="center"/>
    </xf>
    <xf numFmtId="166" fontId="6" fillId="2" borderId="7" xfId="1" applyNumberFormat="1" applyFont="1" applyFill="1" applyBorder="1"/>
    <xf numFmtId="166" fontId="2" fillId="6" borderId="0" xfId="1" applyNumberFormat="1" applyFont="1" applyFill="1" applyBorder="1" applyProtection="1">
      <protection locked="0"/>
    </xf>
    <xf numFmtId="166" fontId="2" fillId="6" borderId="0" xfId="1" applyNumberFormat="1" applyFont="1" applyFill="1" applyBorder="1"/>
    <xf numFmtId="166" fontId="2" fillId="3" borderId="6" xfId="1" applyNumberFormat="1" applyFont="1" applyFill="1" applyBorder="1"/>
    <xf numFmtId="166" fontId="6" fillId="2" borderId="6" xfId="1" applyNumberFormat="1" applyFont="1" applyFill="1" applyBorder="1"/>
    <xf numFmtId="0" fontId="5" fillId="2" borderId="0" xfId="0" applyFont="1" applyFill="1" applyAlignment="1">
      <alignment vertical="center"/>
    </xf>
    <xf numFmtId="0" fontId="5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center"/>
    </xf>
    <xf numFmtId="166" fontId="2" fillId="4" borderId="6" xfId="1" applyNumberFormat="1" applyFont="1" applyFill="1" applyBorder="1" applyProtection="1"/>
    <xf numFmtId="166" fontId="2" fillId="4" borderId="9" xfId="1" applyNumberFormat="1" applyFont="1" applyFill="1" applyBorder="1" applyProtection="1"/>
    <xf numFmtId="166" fontId="2" fillId="4" borderId="11" xfId="1" applyNumberFormat="1" applyFont="1" applyFill="1" applyBorder="1" applyProtection="1"/>
    <xf numFmtId="0" fontId="6" fillId="2" borderId="12" xfId="0" applyFont="1" applyFill="1" applyBorder="1" applyAlignment="1">
      <alignment horizontal="center"/>
    </xf>
    <xf numFmtId="0" fontId="4" fillId="2" borderId="9" xfId="0" applyFont="1" applyFill="1" applyBorder="1"/>
    <xf numFmtId="0" fontId="7" fillId="2" borderId="8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15" xfId="0" applyFont="1" applyFill="1" applyBorder="1" applyAlignment="1">
      <alignment vertical="center"/>
    </xf>
    <xf numFmtId="0" fontId="4" fillId="2" borderId="13" xfId="0" applyFont="1" applyFill="1" applyBorder="1"/>
    <xf numFmtId="0" fontId="7" fillId="2" borderId="10" xfId="0" applyFont="1" applyFill="1" applyBorder="1" applyAlignment="1">
      <alignment vertical="center"/>
    </xf>
    <xf numFmtId="166" fontId="4" fillId="2" borderId="7" xfId="1" applyNumberFormat="1" applyFont="1" applyFill="1" applyBorder="1"/>
    <xf numFmtId="166" fontId="4" fillId="2" borderId="13" xfId="1" applyNumberFormat="1" applyFont="1" applyFill="1" applyBorder="1"/>
    <xf numFmtId="166" fontId="4" fillId="2" borderId="14" xfId="1" applyNumberFormat="1" applyFont="1" applyFill="1" applyBorder="1"/>
    <xf numFmtId="0" fontId="2" fillId="2" borderId="0" xfId="0" applyFont="1" applyFill="1"/>
    <xf numFmtId="0" fontId="5" fillId="2" borderId="5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right"/>
    </xf>
    <xf numFmtId="0" fontId="2" fillId="4" borderId="10" xfId="0" applyFont="1" applyFill="1" applyBorder="1" applyAlignment="1">
      <alignment horizontal="left"/>
    </xf>
    <xf numFmtId="0" fontId="2" fillId="4" borderId="8" xfId="0" applyFont="1" applyFill="1" applyBorder="1" applyAlignment="1">
      <alignment horizontal="left"/>
    </xf>
    <xf numFmtId="0" fontId="2" fillId="4" borderId="9" xfId="0" applyFont="1" applyFill="1" applyBorder="1" applyAlignment="1">
      <alignment horizontal="left"/>
    </xf>
    <xf numFmtId="3" fontId="0" fillId="0" borderId="0" xfId="0" applyNumberFormat="1"/>
    <xf numFmtId="0" fontId="2" fillId="4" borderId="10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166" fontId="1" fillId="8" borderId="6" xfId="4" applyNumberFormat="1" applyBorder="1"/>
    <xf numFmtId="0" fontId="2" fillId="9" borderId="0" xfId="5"/>
    <xf numFmtId="0" fontId="1" fillId="8" borderId="0" xfId="4"/>
    <xf numFmtId="0" fontId="9" fillId="9" borderId="0" xfId="3" applyFill="1"/>
    <xf numFmtId="0" fontId="2" fillId="3" borderId="10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</cellXfs>
  <cellStyles count="6">
    <cellStyle name="20% - Accent1" xfId="4" builtinId="30"/>
    <cellStyle name="Clear" xfId="5" xr:uid="{92887CB1-3DA2-4078-94F8-93E1B7E46148}"/>
    <cellStyle name="Comma" xfId="1" builtinId="3"/>
    <cellStyle name="Normal" xfId="0" builtinId="0"/>
    <cellStyle name="Percent" xfId="2" builtinId="5"/>
    <cellStyle name="Title" xfId="3" builtinId="15"/>
  </cellStyles>
  <dxfs count="4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5959"/>
        </patternFill>
      </fill>
    </dxf>
    <dxf>
      <font>
        <color theme="1"/>
      </font>
      <fill>
        <patternFill>
          <bgColor rgb="FF40BFA3"/>
        </patternFill>
      </fill>
    </dxf>
    <dxf>
      <font>
        <color auto="1"/>
      </font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00A0"/>
      <color rgb="FF0000FF"/>
      <color rgb="FF00005E"/>
      <color rgb="FFFBD9CA"/>
      <color rgb="FFF0C1AE"/>
      <color rgb="FFFDECE4"/>
      <color rgb="FFFF5959"/>
      <color rgb="FF40BFA3"/>
      <color rgb="FF99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318247</xdr:colOff>
      <xdr:row>0</xdr:row>
      <xdr:rowOff>55470</xdr:rowOff>
    </xdr:from>
    <xdr:to>
      <xdr:col>41</xdr:col>
      <xdr:colOff>478764</xdr:colOff>
      <xdr:row>1</xdr:row>
      <xdr:rowOff>209395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46CB92-C9B7-4335-8307-0EDB80559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45797" y="55470"/>
          <a:ext cx="1722617" cy="359665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77264B-91AD-4524-B54F-70D68488145A}" autoFormatId="16" applyNumberFormats="0" applyBorderFormats="0" applyFontFormats="0" applyPatternFormats="0" applyAlignmentFormats="0" applyWidthHeightFormats="0">
  <queryTableRefresh nextId="50">
    <queryTableFields count="25">
      <queryTableField id="1" name="category" tableColumnId="1"/>
      <queryTableField id="26" name="month1PlanSum" tableColumnId="2"/>
      <queryTableField id="27" name="month1ActualSum" tableColumnId="3"/>
      <queryTableField id="28" name="month2PlanSum" tableColumnId="4"/>
      <queryTableField id="29" name="month2ActualSum" tableColumnId="5"/>
      <queryTableField id="30" name="month3PlanSum" tableColumnId="6"/>
      <queryTableField id="31" name="month3ActualSum" tableColumnId="7"/>
      <queryTableField id="32" name="month4PlanSum" tableColumnId="8"/>
      <queryTableField id="33" name="month4ActualSum" tableColumnId="9"/>
      <queryTableField id="34" name="month5PlanSum" tableColumnId="10"/>
      <queryTableField id="35" name="month5ActualSum" tableColumnId="11"/>
      <queryTableField id="36" name="month6PlanSum" tableColumnId="12"/>
      <queryTableField id="37" name="month6ActualSum" tableColumnId="13"/>
      <queryTableField id="38" name="month7PlanSum" tableColumnId="14"/>
      <queryTableField id="39" name="month7ActualSum" tableColumnId="15"/>
      <queryTableField id="40" name="month8PlanSum" tableColumnId="16"/>
      <queryTableField id="41" name="month8ActualSum" tableColumnId="17"/>
      <queryTableField id="42" name="month9PlanSum" tableColumnId="18"/>
      <queryTableField id="43" name="month9ActualSum" tableColumnId="19"/>
      <queryTableField id="44" name="month10PlanSum" tableColumnId="20"/>
      <queryTableField id="45" name="month10ActualSum" tableColumnId="21"/>
      <queryTableField id="46" name="month11PlanSum" tableColumnId="22"/>
      <queryTableField id="47" name="month11ActualSum" tableColumnId="23"/>
      <queryTableField id="48" name="month12PlanSum" tableColumnId="24"/>
      <queryTableField id="49" name="month12ActualSum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19C9036-09FB-4545-8CB4-9B50283DD8A9}" autoFormatId="16" applyNumberFormats="0" applyBorderFormats="0" applyFontFormats="0" applyPatternFormats="0" applyAlignmentFormats="0" applyWidthHeightFormats="0">
  <queryTableRefresh nextId="26">
    <queryTableFields count="25">
      <queryTableField id="1" name="category" tableColumnId="1"/>
      <queryTableField id="2" name="month1PlanSum" tableColumnId="2"/>
      <queryTableField id="3" name="month1ActualSum" tableColumnId="3"/>
      <queryTableField id="4" name="month2PlanSum" tableColumnId="4"/>
      <queryTableField id="5" name="month2ActualSum" tableColumnId="5"/>
      <queryTableField id="6" name="month3PlanSum" tableColumnId="6"/>
      <queryTableField id="7" name="month3ActualSum" tableColumnId="7"/>
      <queryTableField id="8" name="month4PlanSum" tableColumnId="8"/>
      <queryTableField id="9" name="month4ActualSum" tableColumnId="9"/>
      <queryTableField id="10" name="month5PlanSum" tableColumnId="10"/>
      <queryTableField id="11" name="month5ActualSum" tableColumnId="11"/>
      <queryTableField id="12" name="month6PlanSum" tableColumnId="12"/>
      <queryTableField id="13" name="month6ActualSum" tableColumnId="13"/>
      <queryTableField id="14" name="month7PlanSum" tableColumnId="14"/>
      <queryTableField id="15" name="month7ActualSum" tableColumnId="15"/>
      <queryTableField id="16" name="month8PlanSum" tableColumnId="16"/>
      <queryTableField id="17" name="month8ActualSum" tableColumnId="17"/>
      <queryTableField id="18" name="month9PlanSum" tableColumnId="18"/>
      <queryTableField id="19" name="month9ActualSum" tableColumnId="19"/>
      <queryTableField id="20" name="month10PlanSum" tableColumnId="20"/>
      <queryTableField id="21" name="month10ActualSum" tableColumnId="21"/>
      <queryTableField id="22" name="month11PlanSum" tableColumnId="22"/>
      <queryTableField id="23" name="month11ActualSum" tableColumnId="23"/>
      <queryTableField id="24" name="month12PlanSum" tableColumnId="24"/>
      <queryTableField id="25" name="month12ActualSum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8CE797-7356-4148-802D-DFC9268FFF47}" name="expenses" displayName="expenses" ref="A15:Y16" tableType="queryTable" insertRow="1" totalsRowShown="0">
  <autoFilter ref="A15:Y16" xr:uid="{068CE797-7356-4148-802D-DFC9268FFF47}"/>
  <tableColumns count="25">
    <tableColumn id="1" xr3:uid="{905DF205-01D0-4AF4-BC0A-3795C5EAC318}" uniqueName="1" name="category" queryTableFieldId="1" dataDxfId="42"/>
    <tableColumn id="2" xr3:uid="{C178D4A4-9B72-4F6A-B433-21FA35873F1C}" uniqueName="2" name="month1PlanSum" queryTableFieldId="26"/>
    <tableColumn id="3" xr3:uid="{576445C6-6621-49D9-8113-FF4F990BA41F}" uniqueName="3" name="month1ActualSum" queryTableFieldId="27"/>
    <tableColumn id="4" xr3:uid="{5FB7D38E-A3D7-4511-8C33-7DEDA83C6908}" uniqueName="4" name="month2PlanSum" queryTableFieldId="28"/>
    <tableColumn id="5" xr3:uid="{7CCD0E60-FF6D-4E64-9918-69F69FB64849}" uniqueName="5" name="month2ActualSum" queryTableFieldId="29"/>
    <tableColumn id="6" xr3:uid="{827292DB-7492-47C0-9E97-7DE6D2D2CA92}" uniqueName="6" name="month3PlanSum" queryTableFieldId="30"/>
    <tableColumn id="7" xr3:uid="{6640DD1C-4256-40B8-AE1F-785851758C6E}" uniqueName="7" name="month3ActualSum" queryTableFieldId="31"/>
    <tableColumn id="8" xr3:uid="{0C449F4F-1193-4CBD-9F7A-9DD6EA47DAA6}" uniqueName="8" name="month4PlanSum" queryTableFieldId="32"/>
    <tableColumn id="9" xr3:uid="{9AB5B6CA-8ED4-4437-AC06-79CF7E737AF9}" uniqueName="9" name="month4ActualSum" queryTableFieldId="33"/>
    <tableColumn id="10" xr3:uid="{BAABB4E5-7D7B-4184-8AF5-59BFC689C053}" uniqueName="10" name="month5PlanSum" queryTableFieldId="34"/>
    <tableColumn id="11" xr3:uid="{CAB66622-94B7-48AA-8E58-F5A89BD35B71}" uniqueName="11" name="month5ActualSum" queryTableFieldId="35"/>
    <tableColumn id="12" xr3:uid="{816E60CD-AEE5-4DDE-B23F-F4175F51903C}" uniqueName="12" name="month6PlanSum" queryTableFieldId="36"/>
    <tableColumn id="13" xr3:uid="{A6B0D031-69F2-466B-967C-4BE37ACDD50E}" uniqueName="13" name="month6ActualSum" queryTableFieldId="37"/>
    <tableColumn id="14" xr3:uid="{E693F0E4-7419-45AC-8F8E-98AC55798C11}" uniqueName="14" name="month7PlanSum" queryTableFieldId="38"/>
    <tableColumn id="15" xr3:uid="{0F79D68C-2AAB-4210-BE08-EA8E5D5C8BA4}" uniqueName="15" name="month7ActualSum" queryTableFieldId="39"/>
    <tableColumn id="16" xr3:uid="{46D08586-72BC-435C-8149-64F5625394EC}" uniqueName="16" name="month8PlanSum" queryTableFieldId="40"/>
    <tableColumn id="17" xr3:uid="{A3F09799-8D1E-4DA7-BDB2-CDC4D35E6E8B}" uniqueName="17" name="month8ActualSum" queryTableFieldId="41"/>
    <tableColumn id="18" xr3:uid="{274E5019-8B8E-4687-9C34-584D57F8FD13}" uniqueName="18" name="month9PlanSum" queryTableFieldId="42"/>
    <tableColumn id="19" xr3:uid="{5764A55A-5D62-467F-9D6C-FA05CD2BE582}" uniqueName="19" name="month9ActualSum" queryTableFieldId="43"/>
    <tableColumn id="20" xr3:uid="{D09107E6-B7B7-46CE-9BFA-C04339929DC1}" uniqueName="20" name="month10PlanSum" queryTableFieldId="44"/>
    <tableColumn id="21" xr3:uid="{52937DD5-DAA2-4626-959F-49F168CA1A1C}" uniqueName="21" name="month10ActualSum" queryTableFieldId="45"/>
    <tableColumn id="22" xr3:uid="{160BBF7F-997C-41D2-81EA-E0E014103E57}" uniqueName="22" name="month11PlanSum" queryTableFieldId="46"/>
    <tableColumn id="23" xr3:uid="{CEF2E8F1-A1A4-4657-88BF-CB9811E482EF}" uniqueName="23" name="month11ActualSum" queryTableFieldId="47"/>
    <tableColumn id="24" xr3:uid="{F7617368-AD5F-4C36-A534-6159E76B2CDB}" uniqueName="24" name="month12PlanSum" queryTableFieldId="48"/>
    <tableColumn id="25" xr3:uid="{A29B805B-DA9F-4873-8764-44B8FD91F96E}" uniqueName="25" name="month12ActualSum" queryTableFieldId="4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F5735E-3C9B-4133-ADA1-9917498BD00A}" name="income" displayName="income" ref="A9:Y10" tableType="queryTable" insertRow="1" totalsRowShown="0">
  <autoFilter ref="A9:Y10" xr:uid="{EAF5735E-3C9B-4133-ADA1-9917498BD00A}"/>
  <tableColumns count="25">
    <tableColumn id="1" xr3:uid="{EA06F7C7-5801-462B-8D0F-EA3B186BB622}" uniqueName="1" name="category" queryTableFieldId="1" dataDxfId="41"/>
    <tableColumn id="2" xr3:uid="{9ABEC80E-6D3E-43E2-8267-2FE243B89012}" uniqueName="2" name="month1PlanSum" queryTableFieldId="2" dataDxfId="40"/>
    <tableColumn id="3" xr3:uid="{5315DC4A-DDB7-4D0A-87A2-D0FE1DDCFE77}" uniqueName="3" name="month1ActualSum" queryTableFieldId="3" dataDxfId="39"/>
    <tableColumn id="4" xr3:uid="{41A36C2D-0F73-4611-8257-BDF7258C4593}" uniqueName="4" name="month2PlanSum" queryTableFieldId="4" dataDxfId="38"/>
    <tableColumn id="5" xr3:uid="{97F022A6-5D74-4C16-B512-C6A823239177}" uniqueName="5" name="month2ActualSum" queryTableFieldId="5" dataDxfId="37"/>
    <tableColumn id="6" xr3:uid="{6499A042-B803-49AE-8903-1ABA028CE297}" uniqueName="6" name="month3PlanSum" queryTableFieldId="6" dataDxfId="36"/>
    <tableColumn id="7" xr3:uid="{ABAD0180-0940-4675-92EF-7714E806B8B7}" uniqueName="7" name="month3ActualSum" queryTableFieldId="7" dataDxfId="35"/>
    <tableColumn id="8" xr3:uid="{7BC251B6-C0F5-49E0-B6EA-39DDFF7D9F76}" uniqueName="8" name="month4PlanSum" queryTableFieldId="8" dataDxfId="34"/>
    <tableColumn id="9" xr3:uid="{63419986-A310-4E1D-AA77-256232FF0801}" uniqueName="9" name="month4ActualSum" queryTableFieldId="9" dataDxfId="33"/>
    <tableColumn id="10" xr3:uid="{77590965-4428-4EB6-B63B-4A0B2C839735}" uniqueName="10" name="month5PlanSum" queryTableFieldId="10" dataDxfId="32"/>
    <tableColumn id="11" xr3:uid="{62790D04-D501-49BA-9833-26E4F24B480F}" uniqueName="11" name="month5ActualSum" queryTableFieldId="11" dataDxfId="31"/>
    <tableColumn id="12" xr3:uid="{5D86C0F3-A729-4AB5-893D-A5D8B2945EDF}" uniqueName="12" name="month6PlanSum" queryTableFieldId="12" dataDxfId="30"/>
    <tableColumn id="13" xr3:uid="{360BB339-B2E8-49E6-94F5-71E17FED5793}" uniqueName="13" name="month6ActualSum" queryTableFieldId="13" dataDxfId="29"/>
    <tableColumn id="14" xr3:uid="{03613BC3-BD89-4540-BBBE-8D9331BF9F24}" uniqueName="14" name="month7PlanSum" queryTableFieldId="14" dataDxfId="28"/>
    <tableColumn id="15" xr3:uid="{9C448117-DFCE-4C9B-9F3C-CE886FC1F6BA}" uniqueName="15" name="month7ActualSum" queryTableFieldId="15" dataDxfId="27"/>
    <tableColumn id="16" xr3:uid="{65DE6A9B-A019-434E-A939-29A6AAB1A1A3}" uniqueName="16" name="month8PlanSum" queryTableFieldId="16" dataDxfId="26"/>
    <tableColumn id="17" xr3:uid="{5B5C1A66-1235-4D30-A52C-C9762A7B4E96}" uniqueName="17" name="month8ActualSum" queryTableFieldId="17" dataDxfId="25"/>
    <tableColumn id="18" xr3:uid="{75211D8F-2F7E-451A-951D-F7402A8C070C}" uniqueName="18" name="month9PlanSum" queryTableFieldId="18" dataDxfId="24"/>
    <tableColumn id="19" xr3:uid="{7A904A7E-F27B-4C49-9AC9-C6D12307B29A}" uniqueName="19" name="month9ActualSum" queryTableFieldId="19" dataDxfId="23"/>
    <tableColumn id="20" xr3:uid="{FB0A850A-8A5F-49E9-BDF3-EC85255F256C}" uniqueName="20" name="month10PlanSum" queryTableFieldId="20" dataDxfId="22"/>
    <tableColumn id="21" xr3:uid="{252F96BD-223C-418B-8E52-272C2B3E6652}" uniqueName="21" name="month10ActualSum" queryTableFieldId="21" dataDxfId="21"/>
    <tableColumn id="22" xr3:uid="{5C1E99EF-0089-4437-AE4E-F4D2DFA7E3F9}" uniqueName="22" name="month11PlanSum" queryTableFieldId="22" dataDxfId="20"/>
    <tableColumn id="23" xr3:uid="{CDD785B6-66E0-4E0C-8916-2FBBAA8BF8EC}" uniqueName="23" name="month11ActualSum" queryTableFieldId="23" dataDxfId="19"/>
    <tableColumn id="24" xr3:uid="{34012808-5E82-46A4-9959-AABC86DA5F00}" uniqueName="24" name="month12PlanSum" queryTableFieldId="24" dataDxfId="18"/>
    <tableColumn id="25" xr3:uid="{13441E00-3648-4D41-B263-CFB4FCD2037C}" uniqueName="25" name="month12ActualSum" queryTableFieldId="25" dataDxf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5341D-86D2-45A9-9867-3D99288F5259}">
  <dimension ref="E1:I6"/>
  <sheetViews>
    <sheetView tabSelected="1" workbookViewId="0">
      <selection activeCell="I2" sqref="I2"/>
    </sheetView>
  </sheetViews>
  <sheetFormatPr defaultRowHeight="13.2" x14ac:dyDescent="0.25"/>
  <cols>
    <col min="1" max="4" width="8.88671875" style="52"/>
    <col min="5" max="5" width="34.88671875" style="52" bestFit="1" customWidth="1"/>
    <col min="6" max="16384" width="8.88671875" style="52"/>
  </cols>
  <sheetData>
    <row r="1" spans="5:9" ht="22.8" x14ac:dyDescent="0.4">
      <c r="I1" s="54" t="s">
        <v>55</v>
      </c>
    </row>
    <row r="4" spans="5:9" x14ac:dyDescent="0.25">
      <c r="E4" s="52" t="s">
        <v>53</v>
      </c>
      <c r="G4" s="52" t="s">
        <v>52</v>
      </c>
    </row>
    <row r="6" spans="5:9" ht="14.4" x14ac:dyDescent="0.3">
      <c r="E6" s="52" t="s">
        <v>54</v>
      </c>
      <c r="I6" s="5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56764-74B1-47B2-B5A8-62945CE04A79}">
  <sheetPr codeName="Sheet2"/>
  <dimension ref="A1:AT61"/>
  <sheetViews>
    <sheetView zoomScaleNormal="100" workbookViewId="0">
      <pane xSplit="3" ySplit="9" topLeftCell="D10" activePane="bottomRight" state="frozen"/>
      <selection pane="topRight" activeCell="D1" sqref="D1"/>
      <selection pane="bottomLeft" activeCell="A9" sqref="A9"/>
      <selection pane="bottomRight" activeCell="A21" sqref="A21"/>
    </sheetView>
  </sheetViews>
  <sheetFormatPr defaultColWidth="9.109375" defaultRowHeight="13.2" x14ac:dyDescent="0.25"/>
  <cols>
    <col min="1" max="1" width="37.44140625" style="2" bestFit="1" customWidth="1"/>
    <col min="2" max="2" width="19.109375" style="2" bestFit="1" customWidth="1"/>
    <col min="3" max="3" width="16.33203125" style="2" customWidth="1"/>
    <col min="4" max="4" width="11.44140625" style="2" bestFit="1" customWidth="1"/>
    <col min="5" max="5" width="11.6640625" style="2" bestFit="1" customWidth="1"/>
    <col min="6" max="6" width="11.44140625" style="2" customWidth="1"/>
    <col min="7" max="7" width="11.44140625" style="2" bestFit="1" customWidth="1"/>
    <col min="8" max="9" width="11.44140625" style="2" customWidth="1"/>
    <col min="10" max="10" width="11.44140625" style="2" bestFit="1" customWidth="1"/>
    <col min="11" max="12" width="11.44140625" style="2" customWidth="1"/>
    <col min="13" max="13" width="11.44140625" style="2" bestFit="1" customWidth="1"/>
    <col min="14" max="15" width="11.44140625" style="2" customWidth="1"/>
    <col min="16" max="16" width="11.44140625" style="2" bestFit="1" customWidth="1"/>
    <col min="17" max="18" width="11.44140625" style="2" customWidth="1"/>
    <col min="19" max="19" width="11.44140625" style="2" bestFit="1" customWidth="1"/>
    <col min="20" max="21" width="11.44140625" style="2" customWidth="1"/>
    <col min="22" max="22" width="11.44140625" style="2" bestFit="1" customWidth="1"/>
    <col min="23" max="24" width="11.44140625" style="2" customWidth="1"/>
    <col min="25" max="25" width="11.44140625" style="2" bestFit="1" customWidth="1"/>
    <col min="26" max="27" width="11.44140625" style="2" customWidth="1"/>
    <col min="28" max="28" width="11.44140625" style="2" bestFit="1" customWidth="1"/>
    <col min="29" max="39" width="11.44140625" style="2" customWidth="1"/>
    <col min="40" max="40" width="11.6640625" style="2" bestFit="1" customWidth="1"/>
    <col min="41" max="41" width="11.6640625" style="2" customWidth="1"/>
    <col min="42" max="42" width="11.6640625" style="2" bestFit="1" customWidth="1"/>
    <col min="43" max="43" width="9.109375" style="2"/>
    <col min="44" max="44" width="17.6640625" style="2" bestFit="1" customWidth="1"/>
    <col min="45" max="45" width="20.88671875" style="2" bestFit="1" customWidth="1"/>
    <col min="46" max="46" width="15.33203125" style="2" bestFit="1" customWidth="1"/>
    <col min="47" max="16384" width="9.109375" style="2"/>
  </cols>
  <sheetData>
    <row r="1" spans="1:46" ht="15" customHeight="1" x14ac:dyDescent="0.25">
      <c r="A1" s="58" t="s">
        <v>26</v>
      </c>
      <c r="B1" s="59"/>
      <c r="C1" s="59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2"/>
      <c r="AQ1" s="3"/>
    </row>
    <row r="2" spans="1:46" ht="26.25" customHeight="1" x14ac:dyDescent="0.25">
      <c r="A2" s="60"/>
      <c r="B2" s="61"/>
      <c r="C2" s="61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5"/>
      <c r="AQ2" s="3"/>
    </row>
    <row r="3" spans="1:46" ht="12.75" customHeight="1" x14ac:dyDescent="0.25">
      <c r="A3" s="1" t="s">
        <v>3</v>
      </c>
      <c r="B3" s="43" t="s">
        <v>4</v>
      </c>
      <c r="C3" s="43" t="s">
        <v>5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5"/>
      <c r="AQ3" s="3"/>
    </row>
    <row r="4" spans="1:46" ht="12.75" customHeight="1" x14ac:dyDescent="0.25">
      <c r="A4" s="5" t="s">
        <v>2</v>
      </c>
      <c r="B4" s="15">
        <f>C4/12</f>
        <v>0</v>
      </c>
      <c r="C4" s="15">
        <f>AO18</f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5"/>
      <c r="AQ4" s="3"/>
    </row>
    <row r="5" spans="1:46" ht="12.75" customHeight="1" x14ac:dyDescent="0.25">
      <c r="A5" s="5" t="s">
        <v>6</v>
      </c>
      <c r="B5" s="15">
        <f>C5/12</f>
        <v>0</v>
      </c>
      <c r="C5" s="15">
        <f>AO47</f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5"/>
      <c r="AQ5" s="3"/>
    </row>
    <row r="6" spans="1:46" ht="12.75" customHeight="1" x14ac:dyDescent="0.25">
      <c r="A6" s="5" t="s">
        <v>7</v>
      </c>
      <c r="B6" s="15">
        <f>C6/12</f>
        <v>0</v>
      </c>
      <c r="C6" s="15">
        <f>C4-C5</f>
        <v>0</v>
      </c>
      <c r="D6" s="62" t="s">
        <v>16</v>
      </c>
      <c r="E6" s="62"/>
      <c r="F6" s="63"/>
      <c r="G6" s="62" t="s">
        <v>15</v>
      </c>
      <c r="H6" s="62"/>
      <c r="I6" s="63"/>
      <c r="J6" s="62" t="s">
        <v>17</v>
      </c>
      <c r="K6" s="62"/>
      <c r="L6" s="63"/>
      <c r="M6" s="62" t="s">
        <v>18</v>
      </c>
      <c r="N6" s="62"/>
      <c r="O6" s="63"/>
      <c r="P6" s="62" t="s">
        <v>0</v>
      </c>
      <c r="Q6" s="62"/>
      <c r="R6" s="63"/>
      <c r="S6" s="62" t="s">
        <v>19</v>
      </c>
      <c r="T6" s="62"/>
      <c r="U6" s="63"/>
      <c r="V6" s="62" t="s">
        <v>20</v>
      </c>
      <c r="W6" s="62"/>
      <c r="X6" s="63"/>
      <c r="Y6" s="62" t="s">
        <v>21</v>
      </c>
      <c r="Z6" s="62"/>
      <c r="AA6" s="63"/>
      <c r="AB6" s="62" t="s">
        <v>22</v>
      </c>
      <c r="AC6" s="62"/>
      <c r="AD6" s="63"/>
      <c r="AE6" s="62" t="s">
        <v>23</v>
      </c>
      <c r="AF6" s="62"/>
      <c r="AG6" s="63"/>
      <c r="AH6" s="62" t="s">
        <v>24</v>
      </c>
      <c r="AI6" s="62"/>
      <c r="AJ6" s="63"/>
      <c r="AK6" s="62" t="s">
        <v>25</v>
      </c>
      <c r="AL6" s="62"/>
      <c r="AM6" s="63"/>
      <c r="AN6" s="62" t="s">
        <v>1</v>
      </c>
      <c r="AO6" s="62"/>
      <c r="AP6" s="62"/>
    </row>
    <row r="7" spans="1:46" x14ac:dyDescent="0.25">
      <c r="A7" s="4"/>
      <c r="B7" s="40"/>
      <c r="C7" s="40"/>
      <c r="D7" s="26" t="s">
        <v>12</v>
      </c>
      <c r="E7" s="26" t="s">
        <v>13</v>
      </c>
      <c r="F7" s="30" t="s">
        <v>14</v>
      </c>
      <c r="G7" s="26" t="s">
        <v>12</v>
      </c>
      <c r="H7" s="26" t="s">
        <v>13</v>
      </c>
      <c r="I7" s="30" t="s">
        <v>14</v>
      </c>
      <c r="J7" s="26" t="s">
        <v>12</v>
      </c>
      <c r="K7" s="26" t="s">
        <v>13</v>
      </c>
      <c r="L7" s="30" t="s">
        <v>14</v>
      </c>
      <c r="M7" s="26" t="s">
        <v>12</v>
      </c>
      <c r="N7" s="26" t="s">
        <v>13</v>
      </c>
      <c r="O7" s="30" t="s">
        <v>14</v>
      </c>
      <c r="P7" s="26" t="s">
        <v>12</v>
      </c>
      <c r="Q7" s="26" t="s">
        <v>13</v>
      </c>
      <c r="R7" s="30" t="s">
        <v>14</v>
      </c>
      <c r="S7" s="26" t="s">
        <v>12</v>
      </c>
      <c r="T7" s="26" t="s">
        <v>13</v>
      </c>
      <c r="U7" s="30" t="s">
        <v>14</v>
      </c>
      <c r="V7" s="26" t="s">
        <v>12</v>
      </c>
      <c r="W7" s="26" t="s">
        <v>13</v>
      </c>
      <c r="X7" s="30" t="s">
        <v>14</v>
      </c>
      <c r="Y7" s="26" t="s">
        <v>12</v>
      </c>
      <c r="Z7" s="26" t="s">
        <v>13</v>
      </c>
      <c r="AA7" s="30" t="s">
        <v>14</v>
      </c>
      <c r="AB7" s="26" t="s">
        <v>12</v>
      </c>
      <c r="AC7" s="26" t="s">
        <v>13</v>
      </c>
      <c r="AD7" s="30" t="s">
        <v>14</v>
      </c>
      <c r="AE7" s="26" t="s">
        <v>12</v>
      </c>
      <c r="AF7" s="26" t="s">
        <v>13</v>
      </c>
      <c r="AG7" s="30" t="s">
        <v>14</v>
      </c>
      <c r="AH7" s="26" t="s">
        <v>12</v>
      </c>
      <c r="AI7" s="26" t="s">
        <v>13</v>
      </c>
      <c r="AJ7" s="30" t="s">
        <v>14</v>
      </c>
      <c r="AK7" s="26" t="s">
        <v>12</v>
      </c>
      <c r="AL7" s="26" t="s">
        <v>13</v>
      </c>
      <c r="AM7" s="30" t="s">
        <v>14</v>
      </c>
      <c r="AN7" s="26" t="s">
        <v>12</v>
      </c>
      <c r="AO7" s="26" t="s">
        <v>13</v>
      </c>
      <c r="AP7" s="26" t="s">
        <v>14</v>
      </c>
      <c r="AQ7" s="3"/>
    </row>
    <row r="8" spans="1:46" ht="1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15" customHeight="1" x14ac:dyDescent="0.25">
      <c r="A9" s="1" t="s">
        <v>2</v>
      </c>
      <c r="B9" s="1"/>
      <c r="C9" s="1"/>
      <c r="D9" s="1"/>
      <c r="E9" s="1"/>
      <c r="F9" s="35"/>
      <c r="G9" s="1"/>
      <c r="H9" s="1"/>
      <c r="I9" s="35"/>
      <c r="J9" s="1"/>
      <c r="K9" s="1"/>
      <c r="L9" s="35"/>
      <c r="M9" s="1"/>
      <c r="N9" s="1"/>
      <c r="O9" s="35"/>
      <c r="P9" s="1"/>
      <c r="Q9" s="1"/>
      <c r="R9" s="35"/>
      <c r="S9" s="1"/>
      <c r="T9" s="1"/>
      <c r="U9" s="35"/>
      <c r="V9" s="31"/>
      <c r="W9" s="1"/>
      <c r="X9" s="35"/>
      <c r="Y9" s="1"/>
      <c r="Z9" s="1"/>
      <c r="AA9" s="35"/>
      <c r="AB9" s="1"/>
      <c r="AC9" s="1"/>
      <c r="AD9" s="35"/>
      <c r="AE9" s="1"/>
      <c r="AF9" s="1"/>
      <c r="AG9" s="35"/>
      <c r="AH9" s="1"/>
      <c r="AI9" s="1"/>
      <c r="AJ9" s="35"/>
      <c r="AK9" s="1"/>
      <c r="AL9" s="1"/>
      <c r="AM9" s="35"/>
      <c r="AN9" s="1"/>
      <c r="AO9" s="1"/>
      <c r="AP9" s="1"/>
      <c r="AQ9" s="3"/>
    </row>
    <row r="10" spans="1:46" ht="15" customHeight="1" x14ac:dyDescent="0.25">
      <c r="A10" s="48" cm="1">
        <f t="array" ref="A10">income[category]</f>
        <v>0</v>
      </c>
      <c r="B10" s="49"/>
      <c r="C10" s="50"/>
      <c r="D10" s="27" cm="1">
        <f t="array" ref="D10">income[month1PlanSum]</f>
        <v>0</v>
      </c>
      <c r="E10" s="27" cm="1">
        <f t="array" ref="E10">income[month1ActualSum]</f>
        <v>0</v>
      </c>
      <c r="F10" s="29">
        <f>E10-D10</f>
        <v>0</v>
      </c>
      <c r="G10" s="27" cm="1">
        <f t="array" ref="G10">income[month2PlanSum]</f>
        <v>0</v>
      </c>
      <c r="H10" s="27" cm="1">
        <f t="array" ref="H10">income[month2ActualSum]</f>
        <v>0</v>
      </c>
      <c r="I10" s="29">
        <f>H10-G10</f>
        <v>0</v>
      </c>
      <c r="J10" s="27" cm="1">
        <f t="array" ref="J10">income[month3PlanSum]</f>
        <v>0</v>
      </c>
      <c r="K10" s="27" cm="1">
        <f t="array" ref="K10">income[month3ActualSum]</f>
        <v>0</v>
      </c>
      <c r="L10" s="29">
        <f>K10-J10</f>
        <v>0</v>
      </c>
      <c r="M10" s="27" cm="1">
        <f t="array" ref="M10">income[month4PlanSum]</f>
        <v>0</v>
      </c>
      <c r="N10" s="27" cm="1">
        <f t="array" ref="N10">income[month4ActualSum]</f>
        <v>0</v>
      </c>
      <c r="O10" s="29">
        <f>N10-M10</f>
        <v>0</v>
      </c>
      <c r="P10" s="27" cm="1">
        <f t="array" ref="P10">income[month5PlanSum]</f>
        <v>0</v>
      </c>
      <c r="Q10" s="27" cm="1">
        <f t="array" ref="Q10">income[month5ActualSum]</f>
        <v>0</v>
      </c>
      <c r="R10" s="29">
        <f>Q10-P10</f>
        <v>0</v>
      </c>
      <c r="S10" s="27" cm="1">
        <f t="array" ref="S10">income[month6PlanSum]</f>
        <v>0</v>
      </c>
      <c r="T10" s="27" cm="1">
        <f t="array" ref="T10">income[month6ActualSum]</f>
        <v>0</v>
      </c>
      <c r="U10" s="29">
        <f>T10-S10</f>
        <v>0</v>
      </c>
      <c r="V10" s="28" cm="1">
        <f t="array" ref="V10">income[month7PlanSum]</f>
        <v>0</v>
      </c>
      <c r="W10" s="28" cm="1">
        <f t="array" ref="W10">income[month7ActualSum]</f>
        <v>0</v>
      </c>
      <c r="X10" s="29">
        <f>W10-V10</f>
        <v>0</v>
      </c>
      <c r="Y10" s="27" cm="1">
        <f t="array" ref="Y10">income[month8PlanSum]</f>
        <v>0</v>
      </c>
      <c r="Z10" s="27" cm="1">
        <f t="array" ref="Z10">income[month8ActualSum]</f>
        <v>0</v>
      </c>
      <c r="AA10" s="29">
        <f>Z10-Y10</f>
        <v>0</v>
      </c>
      <c r="AB10" s="27" cm="1">
        <f t="array" ref="AB10">income[month9PlanSum]</f>
        <v>0</v>
      </c>
      <c r="AC10" s="27" cm="1">
        <f t="array" ref="AC10">income[month9ActualSum]</f>
        <v>0</v>
      </c>
      <c r="AD10" s="29">
        <f>AC10-AB10</f>
        <v>0</v>
      </c>
      <c r="AE10" s="27" cm="1">
        <f t="array" ref="AE10">income[month10PlanSum]</f>
        <v>0</v>
      </c>
      <c r="AF10" s="27" cm="1">
        <f t="array" ref="AF10">income[month10ActualSum]</f>
        <v>0</v>
      </c>
      <c r="AG10" s="29">
        <f>AF10-AE10</f>
        <v>0</v>
      </c>
      <c r="AH10" s="27" cm="1">
        <f t="array" ref="AH10">income[month11PlanSum]</f>
        <v>0</v>
      </c>
      <c r="AI10" s="27" cm="1">
        <f t="array" ref="AI10">income[month11ActualSum]</f>
        <v>0</v>
      </c>
      <c r="AJ10" s="29">
        <f>AI10-AH10</f>
        <v>0</v>
      </c>
      <c r="AK10" s="27" cm="1">
        <f t="array" ref="AK10">income[month12PlanSum]</f>
        <v>0</v>
      </c>
      <c r="AL10" s="27" cm="1">
        <f t="array" ref="AL10">income[month12ActualSum]</f>
        <v>0</v>
      </c>
      <c r="AM10" s="29">
        <f>AL10-AK10</f>
        <v>0</v>
      </c>
      <c r="AN10" s="14">
        <f>D10+G10+J10+M10+P10+S10+V10+Y10+AB10+AE10+AH10+AK10</f>
        <v>0</v>
      </c>
      <c r="AO10" s="14">
        <f>E10+H10+K10+N10+Q10+T10+W10+Z10+AC10+AF10+AI10+AL10</f>
        <v>0</v>
      </c>
      <c r="AP10" s="29">
        <f>AO10-AN10</f>
        <v>0</v>
      </c>
      <c r="AQ10" s="3"/>
    </row>
    <row r="11" spans="1:46" ht="15" customHeight="1" x14ac:dyDescent="0.25">
      <c r="A11" s="48"/>
      <c r="B11" s="49"/>
      <c r="C11" s="50"/>
      <c r="D11" s="27"/>
      <c r="E11" s="27"/>
      <c r="F11" s="29">
        <f t="shared" ref="F11:F17" si="0">E11-D11</f>
        <v>0</v>
      </c>
      <c r="G11" s="27"/>
      <c r="H11" s="27"/>
      <c r="I11" s="29">
        <f t="shared" ref="I11:I17" si="1">H11-G11</f>
        <v>0</v>
      </c>
      <c r="J11" s="27"/>
      <c r="K11" s="27"/>
      <c r="L11" s="29">
        <f t="shared" ref="L11:L17" si="2">K11-J11</f>
        <v>0</v>
      </c>
      <c r="M11" s="27"/>
      <c r="N11" s="27"/>
      <c r="O11" s="29">
        <f t="shared" ref="O11:O17" si="3">N11-M11</f>
        <v>0</v>
      </c>
      <c r="P11" s="27"/>
      <c r="Q11" s="27"/>
      <c r="R11" s="29">
        <f t="shared" ref="R11:R17" si="4">Q11-P11</f>
        <v>0</v>
      </c>
      <c r="S11" s="27"/>
      <c r="T11" s="27"/>
      <c r="U11" s="29">
        <f t="shared" ref="U11:U17" si="5">T11-S11</f>
        <v>0</v>
      </c>
      <c r="V11" s="28"/>
      <c r="W11" s="28"/>
      <c r="X11" s="29">
        <f t="shared" ref="X11:X17" si="6">W11-V11</f>
        <v>0</v>
      </c>
      <c r="Y11" s="27"/>
      <c r="Z11" s="27"/>
      <c r="AA11" s="29">
        <f t="shared" ref="AA11:AA17" si="7">Z11-Y11</f>
        <v>0</v>
      </c>
      <c r="AB11" s="27"/>
      <c r="AC11" s="27"/>
      <c r="AD11" s="29">
        <f t="shared" ref="AD11:AD17" si="8">AC11-AB11</f>
        <v>0</v>
      </c>
      <c r="AE11" s="27"/>
      <c r="AF11" s="27"/>
      <c r="AG11" s="29">
        <f t="shared" ref="AG11:AG17" si="9">AF11-AE11</f>
        <v>0</v>
      </c>
      <c r="AH11" s="27"/>
      <c r="AI11" s="27"/>
      <c r="AJ11" s="29">
        <f t="shared" ref="AJ11:AJ17" si="10">AI11-AH11</f>
        <v>0</v>
      </c>
      <c r="AK11" s="27"/>
      <c r="AL11" s="27"/>
      <c r="AM11" s="29">
        <f t="shared" ref="AM11:AM17" si="11">AL11-AK11</f>
        <v>0</v>
      </c>
      <c r="AN11" s="14">
        <f t="shared" ref="AN11:AN17" si="12">D11+G11+J11+M11+P11+S11+V11+Y11+AB11+AE11+AH11+AK11</f>
        <v>0</v>
      </c>
      <c r="AO11" s="14">
        <f t="shared" ref="AO11:AO17" si="13">E11+H11+K11+N11+Q11+T11+W11+Z11+AC11+AF11+AI11+AL11</f>
        <v>0</v>
      </c>
      <c r="AP11" s="29">
        <f t="shared" ref="AP11:AP17" si="14">AO11-AN11</f>
        <v>0</v>
      </c>
      <c r="AQ11" s="3"/>
    </row>
    <row r="12" spans="1:46" ht="15" customHeight="1" x14ac:dyDescent="0.25">
      <c r="A12" s="48"/>
      <c r="B12" s="49"/>
      <c r="C12" s="50"/>
      <c r="D12" s="27"/>
      <c r="E12" s="27"/>
      <c r="F12" s="29">
        <f t="shared" si="0"/>
        <v>0</v>
      </c>
      <c r="G12" s="27"/>
      <c r="H12" s="27"/>
      <c r="I12" s="29">
        <f t="shared" si="1"/>
        <v>0</v>
      </c>
      <c r="J12" s="27"/>
      <c r="K12" s="27"/>
      <c r="L12" s="29">
        <f t="shared" si="2"/>
        <v>0</v>
      </c>
      <c r="M12" s="27"/>
      <c r="N12" s="27"/>
      <c r="O12" s="29">
        <f t="shared" si="3"/>
        <v>0</v>
      </c>
      <c r="P12" s="27"/>
      <c r="Q12" s="27"/>
      <c r="R12" s="29">
        <f t="shared" si="4"/>
        <v>0</v>
      </c>
      <c r="S12" s="27"/>
      <c r="T12" s="27"/>
      <c r="U12" s="29">
        <f t="shared" si="5"/>
        <v>0</v>
      </c>
      <c r="V12" s="28"/>
      <c r="W12" s="28"/>
      <c r="X12" s="29">
        <f t="shared" si="6"/>
        <v>0</v>
      </c>
      <c r="Y12" s="27"/>
      <c r="Z12" s="27"/>
      <c r="AA12" s="29">
        <f t="shared" si="7"/>
        <v>0</v>
      </c>
      <c r="AB12" s="27"/>
      <c r="AC12" s="27"/>
      <c r="AD12" s="29">
        <f t="shared" si="8"/>
        <v>0</v>
      </c>
      <c r="AE12" s="27"/>
      <c r="AF12" s="27"/>
      <c r="AG12" s="29">
        <f t="shared" si="9"/>
        <v>0</v>
      </c>
      <c r="AH12" s="27"/>
      <c r="AI12" s="27"/>
      <c r="AJ12" s="29">
        <f t="shared" si="10"/>
        <v>0</v>
      </c>
      <c r="AK12" s="27"/>
      <c r="AL12" s="27"/>
      <c r="AM12" s="29">
        <f t="shared" si="11"/>
        <v>0</v>
      </c>
      <c r="AN12" s="14">
        <f t="shared" si="12"/>
        <v>0</v>
      </c>
      <c r="AO12" s="14">
        <f t="shared" si="13"/>
        <v>0</v>
      </c>
      <c r="AP12" s="29">
        <f t="shared" si="14"/>
        <v>0</v>
      </c>
      <c r="AQ12" s="3"/>
    </row>
    <row r="13" spans="1:46" ht="15" customHeight="1" x14ac:dyDescent="0.25">
      <c r="A13" s="48"/>
      <c r="B13" s="49"/>
      <c r="C13" s="50"/>
      <c r="D13" s="27"/>
      <c r="E13" s="27"/>
      <c r="F13" s="29">
        <f t="shared" si="0"/>
        <v>0</v>
      </c>
      <c r="G13" s="27"/>
      <c r="H13" s="27"/>
      <c r="I13" s="29">
        <f t="shared" si="1"/>
        <v>0</v>
      </c>
      <c r="J13" s="27"/>
      <c r="K13" s="27"/>
      <c r="L13" s="29">
        <f t="shared" si="2"/>
        <v>0</v>
      </c>
      <c r="M13" s="27"/>
      <c r="N13" s="27"/>
      <c r="O13" s="29">
        <f t="shared" si="3"/>
        <v>0</v>
      </c>
      <c r="P13" s="27"/>
      <c r="Q13" s="27"/>
      <c r="R13" s="29">
        <f t="shared" si="4"/>
        <v>0</v>
      </c>
      <c r="S13" s="27"/>
      <c r="T13" s="27"/>
      <c r="U13" s="29">
        <f t="shared" si="5"/>
        <v>0</v>
      </c>
      <c r="V13" s="28"/>
      <c r="W13" s="28"/>
      <c r="X13" s="29">
        <f t="shared" si="6"/>
        <v>0</v>
      </c>
      <c r="Y13" s="27"/>
      <c r="Z13" s="27"/>
      <c r="AA13" s="29">
        <f t="shared" si="7"/>
        <v>0</v>
      </c>
      <c r="AB13" s="27"/>
      <c r="AC13" s="27"/>
      <c r="AD13" s="29">
        <f t="shared" si="8"/>
        <v>0</v>
      </c>
      <c r="AE13" s="27"/>
      <c r="AF13" s="27"/>
      <c r="AG13" s="29">
        <f t="shared" si="9"/>
        <v>0</v>
      </c>
      <c r="AH13" s="27"/>
      <c r="AI13" s="27"/>
      <c r="AJ13" s="29">
        <f t="shared" si="10"/>
        <v>0</v>
      </c>
      <c r="AK13" s="27"/>
      <c r="AL13" s="27"/>
      <c r="AM13" s="29">
        <f t="shared" si="11"/>
        <v>0</v>
      </c>
      <c r="AN13" s="14">
        <f t="shared" si="12"/>
        <v>0</v>
      </c>
      <c r="AO13" s="14">
        <f t="shared" si="13"/>
        <v>0</v>
      </c>
      <c r="AP13" s="29">
        <f t="shared" si="14"/>
        <v>0</v>
      </c>
      <c r="AQ13" s="3"/>
    </row>
    <row r="14" spans="1:46" ht="15" customHeight="1" x14ac:dyDescent="0.25">
      <c r="A14" s="48"/>
      <c r="B14" s="49"/>
      <c r="C14" s="50"/>
      <c r="D14" s="27"/>
      <c r="E14" s="27"/>
      <c r="F14" s="29">
        <f t="shared" si="0"/>
        <v>0</v>
      </c>
      <c r="G14" s="27"/>
      <c r="H14" s="27"/>
      <c r="I14" s="29">
        <f t="shared" si="1"/>
        <v>0</v>
      </c>
      <c r="J14" s="27"/>
      <c r="K14" s="27"/>
      <c r="L14" s="29">
        <f t="shared" si="2"/>
        <v>0</v>
      </c>
      <c r="M14" s="27"/>
      <c r="N14" s="27"/>
      <c r="O14" s="29">
        <f t="shared" si="3"/>
        <v>0</v>
      </c>
      <c r="P14" s="27"/>
      <c r="Q14" s="27"/>
      <c r="R14" s="29">
        <f t="shared" si="4"/>
        <v>0</v>
      </c>
      <c r="S14" s="27"/>
      <c r="T14" s="27"/>
      <c r="U14" s="29">
        <f t="shared" si="5"/>
        <v>0</v>
      </c>
      <c r="V14" s="28"/>
      <c r="W14" s="28"/>
      <c r="X14" s="29">
        <f t="shared" si="6"/>
        <v>0</v>
      </c>
      <c r="Y14" s="27"/>
      <c r="Z14" s="27"/>
      <c r="AA14" s="29">
        <f t="shared" si="7"/>
        <v>0</v>
      </c>
      <c r="AB14" s="27"/>
      <c r="AC14" s="27"/>
      <c r="AD14" s="29">
        <f t="shared" si="8"/>
        <v>0</v>
      </c>
      <c r="AE14" s="27"/>
      <c r="AF14" s="27"/>
      <c r="AG14" s="29">
        <f t="shared" si="9"/>
        <v>0</v>
      </c>
      <c r="AH14" s="27"/>
      <c r="AI14" s="27"/>
      <c r="AJ14" s="29">
        <f t="shared" si="10"/>
        <v>0</v>
      </c>
      <c r="AK14" s="27"/>
      <c r="AL14" s="27"/>
      <c r="AM14" s="29">
        <f t="shared" si="11"/>
        <v>0</v>
      </c>
      <c r="AN14" s="14">
        <f t="shared" si="12"/>
        <v>0</v>
      </c>
      <c r="AO14" s="14">
        <f t="shared" si="13"/>
        <v>0</v>
      </c>
      <c r="AP14" s="29">
        <f t="shared" si="14"/>
        <v>0</v>
      </c>
      <c r="AQ14" s="3"/>
    </row>
    <row r="15" spans="1:46" ht="15" customHeight="1" x14ac:dyDescent="0.25">
      <c r="A15" s="48"/>
      <c r="B15" s="49"/>
      <c r="C15" s="50"/>
      <c r="D15" s="27"/>
      <c r="E15" s="27"/>
      <c r="F15" s="29">
        <f t="shared" si="0"/>
        <v>0</v>
      </c>
      <c r="G15" s="27"/>
      <c r="H15" s="27"/>
      <c r="I15" s="29">
        <f t="shared" si="1"/>
        <v>0</v>
      </c>
      <c r="J15" s="27"/>
      <c r="K15" s="27"/>
      <c r="L15" s="29">
        <f t="shared" si="2"/>
        <v>0</v>
      </c>
      <c r="M15" s="27"/>
      <c r="N15" s="27"/>
      <c r="O15" s="29">
        <f t="shared" si="3"/>
        <v>0</v>
      </c>
      <c r="P15" s="27"/>
      <c r="Q15" s="27"/>
      <c r="R15" s="29">
        <f t="shared" si="4"/>
        <v>0</v>
      </c>
      <c r="S15" s="27"/>
      <c r="T15" s="27"/>
      <c r="U15" s="29">
        <f t="shared" si="5"/>
        <v>0</v>
      </c>
      <c r="V15" s="28"/>
      <c r="W15" s="28"/>
      <c r="X15" s="29">
        <f t="shared" si="6"/>
        <v>0</v>
      </c>
      <c r="Y15" s="27"/>
      <c r="Z15" s="27"/>
      <c r="AA15" s="29">
        <f t="shared" si="7"/>
        <v>0</v>
      </c>
      <c r="AB15" s="27"/>
      <c r="AC15" s="27"/>
      <c r="AD15" s="29">
        <f t="shared" si="8"/>
        <v>0</v>
      </c>
      <c r="AE15" s="27"/>
      <c r="AF15" s="27"/>
      <c r="AG15" s="29">
        <f t="shared" si="9"/>
        <v>0</v>
      </c>
      <c r="AH15" s="27"/>
      <c r="AI15" s="27"/>
      <c r="AJ15" s="29">
        <f t="shared" si="10"/>
        <v>0</v>
      </c>
      <c r="AK15" s="27"/>
      <c r="AL15" s="27"/>
      <c r="AM15" s="29">
        <f t="shared" si="11"/>
        <v>0</v>
      </c>
      <c r="AN15" s="14">
        <f t="shared" si="12"/>
        <v>0</v>
      </c>
      <c r="AO15" s="14">
        <f t="shared" si="13"/>
        <v>0</v>
      </c>
      <c r="AP15" s="29">
        <f t="shared" si="14"/>
        <v>0</v>
      </c>
      <c r="AQ15" s="3"/>
    </row>
    <row r="16" spans="1:46" ht="15" customHeight="1" x14ac:dyDescent="0.25">
      <c r="A16" s="48"/>
      <c r="B16" s="49"/>
      <c r="C16" s="50"/>
      <c r="D16" s="27"/>
      <c r="E16" s="27"/>
      <c r="F16" s="29">
        <f t="shared" si="0"/>
        <v>0</v>
      </c>
      <c r="G16" s="27"/>
      <c r="H16" s="27"/>
      <c r="I16" s="29">
        <f t="shared" si="1"/>
        <v>0</v>
      </c>
      <c r="J16" s="27"/>
      <c r="K16" s="27"/>
      <c r="L16" s="29">
        <f t="shared" si="2"/>
        <v>0</v>
      </c>
      <c r="M16" s="27"/>
      <c r="N16" s="27"/>
      <c r="O16" s="29">
        <f t="shared" si="3"/>
        <v>0</v>
      </c>
      <c r="P16" s="27"/>
      <c r="Q16" s="27"/>
      <c r="R16" s="29">
        <f t="shared" si="4"/>
        <v>0</v>
      </c>
      <c r="S16" s="27"/>
      <c r="T16" s="27"/>
      <c r="U16" s="29">
        <f t="shared" si="5"/>
        <v>0</v>
      </c>
      <c r="V16" s="28"/>
      <c r="W16" s="28"/>
      <c r="X16" s="29">
        <f t="shared" si="6"/>
        <v>0</v>
      </c>
      <c r="Y16" s="27"/>
      <c r="Z16" s="27"/>
      <c r="AA16" s="29">
        <f t="shared" si="7"/>
        <v>0</v>
      </c>
      <c r="AB16" s="27"/>
      <c r="AC16" s="27"/>
      <c r="AD16" s="29">
        <f t="shared" si="8"/>
        <v>0</v>
      </c>
      <c r="AE16" s="27"/>
      <c r="AF16" s="27"/>
      <c r="AG16" s="29">
        <f t="shared" si="9"/>
        <v>0</v>
      </c>
      <c r="AH16" s="27"/>
      <c r="AI16" s="27"/>
      <c r="AJ16" s="29">
        <f t="shared" si="10"/>
        <v>0</v>
      </c>
      <c r="AK16" s="27"/>
      <c r="AL16" s="27"/>
      <c r="AM16" s="29">
        <f t="shared" si="11"/>
        <v>0</v>
      </c>
      <c r="AN16" s="14">
        <f t="shared" si="12"/>
        <v>0</v>
      </c>
      <c r="AO16" s="14">
        <f t="shared" si="13"/>
        <v>0</v>
      </c>
      <c r="AP16" s="29">
        <f t="shared" si="14"/>
        <v>0</v>
      </c>
      <c r="AQ16" s="3"/>
    </row>
    <row r="17" spans="1:46" ht="15" customHeight="1" x14ac:dyDescent="0.25">
      <c r="A17" s="48"/>
      <c r="B17" s="49"/>
      <c r="C17" s="50"/>
      <c r="D17" s="27"/>
      <c r="E17" s="27"/>
      <c r="F17" s="29">
        <f t="shared" si="0"/>
        <v>0</v>
      </c>
      <c r="G17" s="27"/>
      <c r="H17" s="27"/>
      <c r="I17" s="29">
        <f t="shared" si="1"/>
        <v>0</v>
      </c>
      <c r="J17" s="27"/>
      <c r="K17" s="27"/>
      <c r="L17" s="29">
        <f t="shared" si="2"/>
        <v>0</v>
      </c>
      <c r="M17" s="27"/>
      <c r="N17" s="27"/>
      <c r="O17" s="29">
        <f t="shared" si="3"/>
        <v>0</v>
      </c>
      <c r="P17" s="27"/>
      <c r="Q17" s="27"/>
      <c r="R17" s="29">
        <f t="shared" si="4"/>
        <v>0</v>
      </c>
      <c r="S17" s="27"/>
      <c r="T17" s="27"/>
      <c r="U17" s="29">
        <f t="shared" si="5"/>
        <v>0</v>
      </c>
      <c r="V17" s="28"/>
      <c r="W17" s="28"/>
      <c r="X17" s="29">
        <f t="shared" si="6"/>
        <v>0</v>
      </c>
      <c r="Y17" s="27"/>
      <c r="Z17" s="27"/>
      <c r="AA17" s="29">
        <f t="shared" si="7"/>
        <v>0</v>
      </c>
      <c r="AB17" s="27"/>
      <c r="AC17" s="27"/>
      <c r="AD17" s="29">
        <f t="shared" si="8"/>
        <v>0</v>
      </c>
      <c r="AE17" s="27"/>
      <c r="AF17" s="27"/>
      <c r="AG17" s="29">
        <f t="shared" si="9"/>
        <v>0</v>
      </c>
      <c r="AH17" s="27"/>
      <c r="AI17" s="27"/>
      <c r="AJ17" s="29">
        <f t="shared" si="10"/>
        <v>0</v>
      </c>
      <c r="AK17" s="27"/>
      <c r="AL17" s="27"/>
      <c r="AM17" s="29">
        <f t="shared" si="11"/>
        <v>0</v>
      </c>
      <c r="AN17" s="14">
        <f t="shared" si="12"/>
        <v>0</v>
      </c>
      <c r="AO17" s="14">
        <f t="shared" si="13"/>
        <v>0</v>
      </c>
      <c r="AP17" s="29">
        <f t="shared" si="14"/>
        <v>0</v>
      </c>
      <c r="AQ17" s="3"/>
    </row>
    <row r="18" spans="1:46" ht="15" customHeight="1" x14ac:dyDescent="0.25">
      <c r="A18" s="8" t="s">
        <v>11</v>
      </c>
      <c r="B18" s="8"/>
      <c r="C18" s="8"/>
      <c r="D18" s="37">
        <f t="shared" ref="D18:AP18" si="15">SUM(D10:D17)</f>
        <v>0</v>
      </c>
      <c r="E18" s="37">
        <f t="shared" si="15"/>
        <v>0</v>
      </c>
      <c r="F18" s="38">
        <f t="shared" si="15"/>
        <v>0</v>
      </c>
      <c r="G18" s="37">
        <f t="shared" si="15"/>
        <v>0</v>
      </c>
      <c r="H18" s="37">
        <f t="shared" si="15"/>
        <v>0</v>
      </c>
      <c r="I18" s="38">
        <f t="shared" si="15"/>
        <v>0</v>
      </c>
      <c r="J18" s="37">
        <f t="shared" si="15"/>
        <v>0</v>
      </c>
      <c r="K18" s="37">
        <f t="shared" si="15"/>
        <v>0</v>
      </c>
      <c r="L18" s="38">
        <f t="shared" si="15"/>
        <v>0</v>
      </c>
      <c r="M18" s="37">
        <f t="shared" si="15"/>
        <v>0</v>
      </c>
      <c r="N18" s="37">
        <f t="shared" si="15"/>
        <v>0</v>
      </c>
      <c r="O18" s="38">
        <f t="shared" si="15"/>
        <v>0</v>
      </c>
      <c r="P18" s="37">
        <f t="shared" si="15"/>
        <v>0</v>
      </c>
      <c r="Q18" s="37">
        <f t="shared" si="15"/>
        <v>0</v>
      </c>
      <c r="R18" s="38">
        <f t="shared" si="15"/>
        <v>0</v>
      </c>
      <c r="S18" s="37">
        <f t="shared" si="15"/>
        <v>0</v>
      </c>
      <c r="T18" s="37">
        <f t="shared" si="15"/>
        <v>0</v>
      </c>
      <c r="U18" s="38">
        <f t="shared" si="15"/>
        <v>0</v>
      </c>
      <c r="V18" s="39">
        <f t="shared" si="15"/>
        <v>0</v>
      </c>
      <c r="W18" s="37">
        <f t="shared" si="15"/>
        <v>0</v>
      </c>
      <c r="X18" s="38">
        <f t="shared" si="15"/>
        <v>0</v>
      </c>
      <c r="Y18" s="37">
        <f t="shared" si="15"/>
        <v>0</v>
      </c>
      <c r="Z18" s="37">
        <f t="shared" si="15"/>
        <v>0</v>
      </c>
      <c r="AA18" s="38">
        <f t="shared" si="15"/>
        <v>0</v>
      </c>
      <c r="AB18" s="37">
        <f t="shared" si="15"/>
        <v>0</v>
      </c>
      <c r="AC18" s="37">
        <f t="shared" si="15"/>
        <v>0</v>
      </c>
      <c r="AD18" s="38">
        <f t="shared" si="15"/>
        <v>0</v>
      </c>
      <c r="AE18" s="37">
        <f t="shared" si="15"/>
        <v>0</v>
      </c>
      <c r="AF18" s="37">
        <f t="shared" si="15"/>
        <v>0</v>
      </c>
      <c r="AG18" s="38">
        <f t="shared" si="15"/>
        <v>0</v>
      </c>
      <c r="AH18" s="37">
        <f t="shared" si="15"/>
        <v>0</v>
      </c>
      <c r="AI18" s="37">
        <f t="shared" si="15"/>
        <v>0</v>
      </c>
      <c r="AJ18" s="38">
        <f t="shared" si="15"/>
        <v>0</v>
      </c>
      <c r="AK18" s="37">
        <f t="shared" si="15"/>
        <v>0</v>
      </c>
      <c r="AL18" s="37">
        <f t="shared" si="15"/>
        <v>0</v>
      </c>
      <c r="AM18" s="38">
        <f t="shared" si="15"/>
        <v>0</v>
      </c>
      <c r="AN18" s="37">
        <f t="shared" si="15"/>
        <v>0</v>
      </c>
      <c r="AO18" s="37">
        <f t="shared" si="15"/>
        <v>0</v>
      </c>
      <c r="AP18" s="38">
        <f t="shared" si="15"/>
        <v>0</v>
      </c>
      <c r="AQ18" s="3"/>
      <c r="AR18" s="3"/>
      <c r="AS18" s="6"/>
      <c r="AT18" s="3"/>
    </row>
    <row r="19" spans="1:46" ht="15" customHeight="1" x14ac:dyDescent="0.25">
      <c r="A19" s="3"/>
      <c r="B19" s="3"/>
      <c r="C19" s="3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3"/>
      <c r="AR19" s="3"/>
      <c r="AS19" s="6"/>
      <c r="AT19" s="3"/>
    </row>
    <row r="20" spans="1:46" s="18" customFormat="1" ht="39.75" customHeight="1" x14ac:dyDescent="0.25">
      <c r="A20" s="36" t="s">
        <v>6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4"/>
      <c r="V20" s="32"/>
      <c r="W20" s="32"/>
      <c r="X20" s="34"/>
      <c r="Y20" s="32"/>
      <c r="Z20" s="32"/>
      <c r="AA20" s="34"/>
      <c r="AB20" s="32"/>
      <c r="AC20" s="32"/>
      <c r="AD20" s="34"/>
      <c r="AE20" s="32"/>
      <c r="AF20" s="32"/>
      <c r="AG20" s="34"/>
      <c r="AH20" s="32"/>
      <c r="AI20" s="32"/>
      <c r="AJ20" s="34"/>
      <c r="AK20" s="32"/>
      <c r="AL20" s="32"/>
      <c r="AM20" s="34"/>
      <c r="AN20" s="32"/>
      <c r="AO20" s="32"/>
      <c r="AP20" s="33"/>
      <c r="AQ20" s="16"/>
      <c r="AR20" s="16"/>
      <c r="AS20" s="17"/>
      <c r="AT20" s="16"/>
    </row>
    <row r="21" spans="1:46" ht="15" customHeight="1" x14ac:dyDescent="0.25">
      <c r="A21" s="44" cm="1">
        <f t="array" ref="A21">expenses[category]</f>
        <v>0</v>
      </c>
      <c r="B21" s="45"/>
      <c r="C21" s="46"/>
      <c r="D21" s="27" cm="1">
        <f t="array" ref="D21">expenses[month1PlanSum]</f>
        <v>0</v>
      </c>
      <c r="E21" s="27" cm="1">
        <f t="array" ref="E21">expenses[month1ActualSum]</f>
        <v>0</v>
      </c>
      <c r="F21" s="27">
        <f t="shared" ref="F21" si="16">D21-E21</f>
        <v>0</v>
      </c>
      <c r="G21" s="27" cm="1">
        <f t="array" ref="G21">expenses[month2PlanSum]</f>
        <v>0</v>
      </c>
      <c r="H21" s="27" cm="1">
        <f t="array" ref="H21">expenses[month2ActualSum]</f>
        <v>0</v>
      </c>
      <c r="I21" s="27">
        <f t="shared" ref="I21" si="17">G21-H21</f>
        <v>0</v>
      </c>
      <c r="J21" s="27" cm="1">
        <f t="array" ref="J21">expenses[month3PlanSum]</f>
        <v>0</v>
      </c>
      <c r="K21" s="27" cm="1">
        <f t="array" ref="K21">expenses[month3ActualSum]</f>
        <v>0</v>
      </c>
      <c r="L21" s="27">
        <f t="shared" ref="L21" si="18">J21-K21</f>
        <v>0</v>
      </c>
      <c r="M21" s="27" cm="1">
        <f t="array" ref="M21">expenses[month4PlanSum]</f>
        <v>0</v>
      </c>
      <c r="N21" s="27" cm="1">
        <f t="array" ref="N21">expenses[month4ActualSum]</f>
        <v>0</v>
      </c>
      <c r="O21" s="27">
        <f t="shared" ref="O21" si="19">M21-N21</f>
        <v>0</v>
      </c>
      <c r="P21" s="27" cm="1">
        <f t="array" ref="P21">expenses[month5PlanSum]</f>
        <v>0</v>
      </c>
      <c r="Q21" s="27" cm="1">
        <f t="array" ref="Q21">expenses[month5ActualSum]</f>
        <v>0</v>
      </c>
      <c r="R21" s="27">
        <f t="shared" ref="R21" si="20">P21-Q21</f>
        <v>0</v>
      </c>
      <c r="S21" s="27" cm="1">
        <f t="array" ref="S21">expenses[month6PlanSum]</f>
        <v>0</v>
      </c>
      <c r="T21" s="27" cm="1">
        <f t="array" ref="T21">expenses[month6ActualSum]</f>
        <v>0</v>
      </c>
      <c r="U21" s="29">
        <f t="shared" ref="U21" si="21">S21-T21</f>
        <v>0</v>
      </c>
      <c r="V21" s="28" cm="1">
        <f t="array" ref="V21">expenses[month7PlanSum]</f>
        <v>0</v>
      </c>
      <c r="W21" s="28" cm="1">
        <f t="array" ref="W21">expenses[month7ActualSum]</f>
        <v>0</v>
      </c>
      <c r="X21" s="29">
        <f t="shared" ref="X21" si="22">V21-W21</f>
        <v>0</v>
      </c>
      <c r="Y21" s="27" cm="1">
        <f t="array" ref="Y21">expenses[month8PlanSum]</f>
        <v>0</v>
      </c>
      <c r="Z21" s="27" cm="1">
        <f t="array" ref="Z21">expenses[month8ActualSum]</f>
        <v>0</v>
      </c>
      <c r="AA21" s="29">
        <f t="shared" ref="AA21" si="23">Y21-Z21</f>
        <v>0</v>
      </c>
      <c r="AB21" s="27" cm="1">
        <f t="array" ref="AB21">expenses[month9PlanSum]</f>
        <v>0</v>
      </c>
      <c r="AC21" s="27" cm="1">
        <f t="array" ref="AC21">expenses[month9ActualSum]</f>
        <v>0</v>
      </c>
      <c r="AD21" s="29">
        <f t="shared" ref="AD21" si="24">AB21-AC21</f>
        <v>0</v>
      </c>
      <c r="AE21" s="27" cm="1">
        <f t="array" ref="AE21">expenses[month10PlanSum]</f>
        <v>0</v>
      </c>
      <c r="AF21" s="27" cm="1">
        <f t="array" ref="AF21">expenses[month10ActualSum]</f>
        <v>0</v>
      </c>
      <c r="AG21" s="29">
        <f t="shared" ref="AG21" si="25">AE21-AF21</f>
        <v>0</v>
      </c>
      <c r="AH21" s="27" cm="1">
        <f t="array" ref="AH21">expenses[month11PlanSum]</f>
        <v>0</v>
      </c>
      <c r="AI21" s="27" cm="1">
        <f t="array" ref="AI21">expenses[month11ActualSum]</f>
        <v>0</v>
      </c>
      <c r="AJ21" s="29">
        <f t="shared" ref="AJ21" si="26">AH21-AI21</f>
        <v>0</v>
      </c>
      <c r="AK21" s="27" cm="1">
        <f t="array" ref="AK21">expenses[month12PlanSum]</f>
        <v>0</v>
      </c>
      <c r="AL21" s="27" cm="1">
        <f t="array" ref="AL21">expenses[month12ActualSum]</f>
        <v>0</v>
      </c>
      <c r="AM21" s="29">
        <f t="shared" ref="AM21" si="27">AK21-AL21</f>
        <v>0</v>
      </c>
      <c r="AN21" s="14">
        <f t="shared" ref="AN21" si="28">D21+G21+J21+M21+P21+S21+V21+Y21+AB21+AE21+AH21+AK21</f>
        <v>0</v>
      </c>
      <c r="AO21" s="14">
        <f t="shared" ref="AO21" si="29">E21+H21+K21+N21+Q21+T21+W21+Z21+AC21+AF21+AI21+AL21</f>
        <v>0</v>
      </c>
      <c r="AP21" s="14">
        <f t="shared" ref="AP21" si="30">F21+I21+L21+O21+R21+U21+X21+AA21+AD21+AG21+AJ21+AM21</f>
        <v>0</v>
      </c>
      <c r="AQ21" s="3"/>
      <c r="AR21" s="3"/>
      <c r="AS21" s="6"/>
      <c r="AT21" s="3"/>
    </row>
    <row r="22" spans="1:46" ht="15" customHeight="1" x14ac:dyDescent="0.25">
      <c r="A22" s="44"/>
      <c r="B22" s="45"/>
      <c r="C22" s="46"/>
      <c r="D22" s="27"/>
      <c r="E22" s="27"/>
      <c r="F22" s="27">
        <f t="shared" ref="F22:F45" si="31">D22-E22</f>
        <v>0</v>
      </c>
      <c r="G22" s="27"/>
      <c r="H22" s="27"/>
      <c r="I22" s="27">
        <f t="shared" ref="I22:I45" si="32">G22-H22</f>
        <v>0</v>
      </c>
      <c r="J22" s="27"/>
      <c r="K22" s="27"/>
      <c r="L22" s="27">
        <f t="shared" ref="L22:L45" si="33">J22-K22</f>
        <v>0</v>
      </c>
      <c r="M22" s="27"/>
      <c r="N22" s="27"/>
      <c r="O22" s="27">
        <f t="shared" ref="O22:O45" si="34">M22-N22</f>
        <v>0</v>
      </c>
      <c r="P22" s="27"/>
      <c r="Q22" s="27"/>
      <c r="R22" s="27">
        <f t="shared" ref="R22:R45" si="35">P22-Q22</f>
        <v>0</v>
      </c>
      <c r="S22" s="27"/>
      <c r="T22" s="27"/>
      <c r="U22" s="29">
        <f t="shared" ref="U22:U45" si="36">S22-T22</f>
        <v>0</v>
      </c>
      <c r="V22" s="28"/>
      <c r="W22" s="28"/>
      <c r="X22" s="29">
        <f t="shared" ref="X22:X45" si="37">V22-W22</f>
        <v>0</v>
      </c>
      <c r="Y22" s="27"/>
      <c r="Z22" s="27"/>
      <c r="AA22" s="29">
        <f t="shared" ref="AA22:AA45" si="38">Y22-Z22</f>
        <v>0</v>
      </c>
      <c r="AB22" s="27"/>
      <c r="AC22" s="27"/>
      <c r="AD22" s="29">
        <f t="shared" ref="AD22:AD45" si="39">AB22-AC22</f>
        <v>0</v>
      </c>
      <c r="AE22" s="27"/>
      <c r="AF22" s="27"/>
      <c r="AG22" s="29">
        <f t="shared" ref="AG22:AG45" si="40">AE22-AF22</f>
        <v>0</v>
      </c>
      <c r="AH22" s="27"/>
      <c r="AI22" s="27"/>
      <c r="AJ22" s="29">
        <f t="shared" ref="AJ22:AJ45" si="41">AH22-AI22</f>
        <v>0</v>
      </c>
      <c r="AK22" s="27"/>
      <c r="AL22" s="27"/>
      <c r="AM22" s="29">
        <f t="shared" ref="AM22:AM45" si="42">AK22-AL22</f>
        <v>0</v>
      </c>
      <c r="AN22" s="14">
        <f t="shared" ref="AN22:AN45" si="43">D22+G22+J22+M22+P22+S22+V22+Y22+AB22+AE22+AH22+AK22</f>
        <v>0</v>
      </c>
      <c r="AO22" s="14">
        <f t="shared" ref="AO22:AO45" si="44">E22+H22+K22+N22+Q22+T22+W22+Z22+AC22+AF22+AI22+AL22</f>
        <v>0</v>
      </c>
      <c r="AP22" s="14">
        <f t="shared" ref="AP22:AP45" si="45">F22+I22+L22+O22+R22+U22+X22+AA22+AD22+AG22+AJ22+AM22</f>
        <v>0</v>
      </c>
      <c r="AQ22" s="3"/>
      <c r="AR22" s="3"/>
      <c r="AS22" s="6"/>
      <c r="AT22" s="3"/>
    </row>
    <row r="23" spans="1:46" ht="15" customHeight="1" x14ac:dyDescent="0.25">
      <c r="A23" s="44"/>
      <c r="B23" s="45"/>
      <c r="C23" s="46"/>
      <c r="D23" s="27"/>
      <c r="E23" s="27"/>
      <c r="F23" s="27">
        <f t="shared" si="31"/>
        <v>0</v>
      </c>
      <c r="G23" s="27"/>
      <c r="H23" s="27"/>
      <c r="I23" s="27">
        <f t="shared" si="32"/>
        <v>0</v>
      </c>
      <c r="J23" s="27"/>
      <c r="K23" s="27"/>
      <c r="L23" s="27">
        <f t="shared" si="33"/>
        <v>0</v>
      </c>
      <c r="M23" s="27"/>
      <c r="N23" s="27"/>
      <c r="O23" s="27">
        <f t="shared" si="34"/>
        <v>0</v>
      </c>
      <c r="P23" s="27"/>
      <c r="Q23" s="27"/>
      <c r="R23" s="27">
        <f t="shared" si="35"/>
        <v>0</v>
      </c>
      <c r="S23" s="27"/>
      <c r="T23" s="27"/>
      <c r="U23" s="29">
        <f t="shared" si="36"/>
        <v>0</v>
      </c>
      <c r="V23" s="28"/>
      <c r="W23" s="28"/>
      <c r="X23" s="29">
        <f t="shared" si="37"/>
        <v>0</v>
      </c>
      <c r="Y23" s="27"/>
      <c r="Z23" s="27"/>
      <c r="AA23" s="29">
        <f t="shared" si="38"/>
        <v>0</v>
      </c>
      <c r="AB23" s="27"/>
      <c r="AC23" s="27"/>
      <c r="AD23" s="29">
        <f t="shared" si="39"/>
        <v>0</v>
      </c>
      <c r="AE23" s="27"/>
      <c r="AF23" s="27"/>
      <c r="AG23" s="29">
        <f t="shared" si="40"/>
        <v>0</v>
      </c>
      <c r="AH23" s="27"/>
      <c r="AI23" s="27"/>
      <c r="AJ23" s="29">
        <f t="shared" si="41"/>
        <v>0</v>
      </c>
      <c r="AK23" s="27"/>
      <c r="AL23" s="27"/>
      <c r="AM23" s="29">
        <f t="shared" si="42"/>
        <v>0</v>
      </c>
      <c r="AN23" s="14">
        <f t="shared" si="43"/>
        <v>0</v>
      </c>
      <c r="AO23" s="14">
        <f t="shared" si="44"/>
        <v>0</v>
      </c>
      <c r="AP23" s="14">
        <f t="shared" si="45"/>
        <v>0</v>
      </c>
      <c r="AQ23" s="3"/>
      <c r="AR23" s="3"/>
      <c r="AS23" s="6"/>
      <c r="AT23" s="3"/>
    </row>
    <row r="24" spans="1:46" ht="15" customHeight="1" x14ac:dyDescent="0.25">
      <c r="A24" s="44"/>
      <c r="B24" s="45"/>
      <c r="C24" s="46"/>
      <c r="D24" s="27"/>
      <c r="E24" s="27"/>
      <c r="F24" s="27">
        <f t="shared" si="31"/>
        <v>0</v>
      </c>
      <c r="G24" s="27"/>
      <c r="H24" s="27"/>
      <c r="I24" s="27">
        <f t="shared" si="32"/>
        <v>0</v>
      </c>
      <c r="J24" s="27"/>
      <c r="K24" s="27"/>
      <c r="L24" s="27">
        <f t="shared" si="33"/>
        <v>0</v>
      </c>
      <c r="M24" s="27"/>
      <c r="N24" s="27"/>
      <c r="O24" s="27">
        <f t="shared" si="34"/>
        <v>0</v>
      </c>
      <c r="P24" s="27"/>
      <c r="Q24" s="27"/>
      <c r="R24" s="27">
        <f t="shared" si="35"/>
        <v>0</v>
      </c>
      <c r="S24" s="27"/>
      <c r="T24" s="27"/>
      <c r="U24" s="29">
        <f t="shared" si="36"/>
        <v>0</v>
      </c>
      <c r="V24" s="28"/>
      <c r="W24" s="28"/>
      <c r="X24" s="29">
        <f t="shared" si="37"/>
        <v>0</v>
      </c>
      <c r="Y24" s="27"/>
      <c r="Z24" s="27"/>
      <c r="AA24" s="29">
        <f t="shared" si="38"/>
        <v>0</v>
      </c>
      <c r="AB24" s="27"/>
      <c r="AC24" s="27"/>
      <c r="AD24" s="29">
        <f t="shared" si="39"/>
        <v>0</v>
      </c>
      <c r="AE24" s="27"/>
      <c r="AF24" s="27"/>
      <c r="AG24" s="29">
        <f t="shared" si="40"/>
        <v>0</v>
      </c>
      <c r="AH24" s="27"/>
      <c r="AI24" s="27"/>
      <c r="AJ24" s="29">
        <f t="shared" si="41"/>
        <v>0</v>
      </c>
      <c r="AK24" s="27"/>
      <c r="AL24" s="27"/>
      <c r="AM24" s="29">
        <f t="shared" si="42"/>
        <v>0</v>
      </c>
      <c r="AN24" s="14">
        <f t="shared" si="43"/>
        <v>0</v>
      </c>
      <c r="AO24" s="14">
        <f t="shared" si="44"/>
        <v>0</v>
      </c>
      <c r="AP24" s="14">
        <f t="shared" si="45"/>
        <v>0</v>
      </c>
      <c r="AQ24" s="3"/>
      <c r="AR24" s="3"/>
      <c r="AS24" s="6"/>
      <c r="AT24" s="3"/>
    </row>
    <row r="25" spans="1:46" ht="15" customHeight="1" x14ac:dyDescent="0.25">
      <c r="A25" s="44"/>
      <c r="B25" s="45"/>
      <c r="C25" s="46"/>
      <c r="D25" s="27"/>
      <c r="E25" s="27"/>
      <c r="F25" s="27">
        <f t="shared" si="31"/>
        <v>0</v>
      </c>
      <c r="G25" s="27"/>
      <c r="H25" s="27"/>
      <c r="I25" s="27">
        <f t="shared" si="32"/>
        <v>0</v>
      </c>
      <c r="J25" s="27"/>
      <c r="K25" s="27"/>
      <c r="L25" s="27">
        <f t="shared" si="33"/>
        <v>0</v>
      </c>
      <c r="M25" s="27"/>
      <c r="N25" s="27"/>
      <c r="O25" s="27">
        <f t="shared" si="34"/>
        <v>0</v>
      </c>
      <c r="P25" s="27"/>
      <c r="Q25" s="27"/>
      <c r="R25" s="27">
        <f t="shared" si="35"/>
        <v>0</v>
      </c>
      <c r="S25" s="27"/>
      <c r="T25" s="27"/>
      <c r="U25" s="29">
        <f t="shared" si="36"/>
        <v>0</v>
      </c>
      <c r="V25" s="28"/>
      <c r="W25" s="28"/>
      <c r="X25" s="29">
        <f t="shared" si="37"/>
        <v>0</v>
      </c>
      <c r="Y25" s="27"/>
      <c r="Z25" s="27"/>
      <c r="AA25" s="29">
        <f t="shared" si="38"/>
        <v>0</v>
      </c>
      <c r="AB25" s="27"/>
      <c r="AC25" s="27"/>
      <c r="AD25" s="29">
        <f t="shared" si="39"/>
        <v>0</v>
      </c>
      <c r="AE25" s="27"/>
      <c r="AF25" s="27"/>
      <c r="AG25" s="29">
        <f t="shared" si="40"/>
        <v>0</v>
      </c>
      <c r="AH25" s="27"/>
      <c r="AI25" s="27"/>
      <c r="AJ25" s="29">
        <f t="shared" si="41"/>
        <v>0</v>
      </c>
      <c r="AK25" s="27"/>
      <c r="AL25" s="27"/>
      <c r="AM25" s="29">
        <f t="shared" si="42"/>
        <v>0</v>
      </c>
      <c r="AN25" s="14">
        <f t="shared" si="43"/>
        <v>0</v>
      </c>
      <c r="AO25" s="14">
        <f t="shared" si="44"/>
        <v>0</v>
      </c>
      <c r="AP25" s="14">
        <f t="shared" si="45"/>
        <v>0</v>
      </c>
      <c r="AQ25" s="3"/>
      <c r="AR25" s="3"/>
      <c r="AS25" s="6"/>
      <c r="AT25" s="3"/>
    </row>
    <row r="26" spans="1:46" ht="15" customHeight="1" x14ac:dyDescent="0.25">
      <c r="A26" s="44"/>
      <c r="B26" s="45"/>
      <c r="C26" s="46"/>
      <c r="D26" s="27"/>
      <c r="E26" s="27"/>
      <c r="F26" s="27">
        <f t="shared" si="31"/>
        <v>0</v>
      </c>
      <c r="G26" s="27"/>
      <c r="H26" s="27"/>
      <c r="I26" s="27">
        <f t="shared" si="32"/>
        <v>0</v>
      </c>
      <c r="J26" s="27"/>
      <c r="K26" s="27"/>
      <c r="L26" s="27">
        <f t="shared" si="33"/>
        <v>0</v>
      </c>
      <c r="M26" s="27"/>
      <c r="N26" s="27"/>
      <c r="O26" s="27">
        <f t="shared" si="34"/>
        <v>0</v>
      </c>
      <c r="P26" s="27"/>
      <c r="Q26" s="27"/>
      <c r="R26" s="27">
        <f t="shared" si="35"/>
        <v>0</v>
      </c>
      <c r="S26" s="27"/>
      <c r="T26" s="27"/>
      <c r="U26" s="29">
        <f t="shared" si="36"/>
        <v>0</v>
      </c>
      <c r="V26" s="28"/>
      <c r="W26" s="28"/>
      <c r="X26" s="29">
        <f t="shared" si="37"/>
        <v>0</v>
      </c>
      <c r="Y26" s="27"/>
      <c r="Z26" s="27"/>
      <c r="AA26" s="29">
        <f t="shared" si="38"/>
        <v>0</v>
      </c>
      <c r="AB26" s="27"/>
      <c r="AC26" s="27"/>
      <c r="AD26" s="29">
        <f t="shared" si="39"/>
        <v>0</v>
      </c>
      <c r="AE26" s="27"/>
      <c r="AF26" s="27"/>
      <c r="AG26" s="29">
        <f t="shared" si="40"/>
        <v>0</v>
      </c>
      <c r="AH26" s="27"/>
      <c r="AI26" s="27"/>
      <c r="AJ26" s="29">
        <f t="shared" si="41"/>
        <v>0</v>
      </c>
      <c r="AK26" s="27"/>
      <c r="AL26" s="27"/>
      <c r="AM26" s="29">
        <f t="shared" si="42"/>
        <v>0</v>
      </c>
      <c r="AN26" s="14">
        <f t="shared" si="43"/>
        <v>0</v>
      </c>
      <c r="AO26" s="14">
        <f t="shared" si="44"/>
        <v>0</v>
      </c>
      <c r="AP26" s="14">
        <f t="shared" si="45"/>
        <v>0</v>
      </c>
      <c r="AQ26" s="3"/>
      <c r="AR26" s="3"/>
      <c r="AS26" s="6"/>
      <c r="AT26" s="3"/>
    </row>
    <row r="27" spans="1:46" ht="15" customHeight="1" x14ac:dyDescent="0.25">
      <c r="A27" s="44"/>
      <c r="B27" s="45"/>
      <c r="C27" s="46"/>
      <c r="D27" s="27"/>
      <c r="E27" s="27"/>
      <c r="F27" s="27">
        <f t="shared" si="31"/>
        <v>0</v>
      </c>
      <c r="G27" s="27"/>
      <c r="H27" s="27"/>
      <c r="I27" s="27">
        <f t="shared" si="32"/>
        <v>0</v>
      </c>
      <c r="J27" s="27"/>
      <c r="K27" s="27"/>
      <c r="L27" s="27">
        <f t="shared" si="33"/>
        <v>0</v>
      </c>
      <c r="M27" s="27"/>
      <c r="N27" s="27"/>
      <c r="O27" s="27">
        <f t="shared" si="34"/>
        <v>0</v>
      </c>
      <c r="P27" s="27"/>
      <c r="Q27" s="27"/>
      <c r="R27" s="27">
        <f t="shared" si="35"/>
        <v>0</v>
      </c>
      <c r="S27" s="27"/>
      <c r="T27" s="27"/>
      <c r="U27" s="29">
        <f t="shared" si="36"/>
        <v>0</v>
      </c>
      <c r="V27" s="28"/>
      <c r="W27" s="28"/>
      <c r="X27" s="29">
        <f t="shared" si="37"/>
        <v>0</v>
      </c>
      <c r="Y27" s="27"/>
      <c r="Z27" s="27"/>
      <c r="AA27" s="29">
        <f t="shared" si="38"/>
        <v>0</v>
      </c>
      <c r="AB27" s="27"/>
      <c r="AC27" s="27"/>
      <c r="AD27" s="29">
        <f t="shared" si="39"/>
        <v>0</v>
      </c>
      <c r="AE27" s="27"/>
      <c r="AF27" s="27"/>
      <c r="AG27" s="29">
        <f t="shared" si="40"/>
        <v>0</v>
      </c>
      <c r="AH27" s="27"/>
      <c r="AI27" s="27"/>
      <c r="AJ27" s="29">
        <f t="shared" si="41"/>
        <v>0</v>
      </c>
      <c r="AK27" s="27"/>
      <c r="AL27" s="27"/>
      <c r="AM27" s="29">
        <f t="shared" si="42"/>
        <v>0</v>
      </c>
      <c r="AN27" s="14">
        <f t="shared" si="43"/>
        <v>0</v>
      </c>
      <c r="AO27" s="14">
        <f t="shared" si="44"/>
        <v>0</v>
      </c>
      <c r="AP27" s="14">
        <f t="shared" si="45"/>
        <v>0</v>
      </c>
      <c r="AQ27" s="3"/>
      <c r="AR27" s="3"/>
      <c r="AS27" s="6"/>
      <c r="AT27" s="3"/>
    </row>
    <row r="28" spans="1:46" ht="15" customHeight="1" x14ac:dyDescent="0.25">
      <c r="A28" s="44"/>
      <c r="B28" s="45"/>
      <c r="C28" s="46"/>
      <c r="D28" s="27"/>
      <c r="E28" s="27"/>
      <c r="F28" s="27">
        <f t="shared" si="31"/>
        <v>0</v>
      </c>
      <c r="G28" s="27"/>
      <c r="H28" s="27"/>
      <c r="I28" s="27">
        <f t="shared" si="32"/>
        <v>0</v>
      </c>
      <c r="J28" s="27"/>
      <c r="K28" s="27"/>
      <c r="L28" s="27">
        <f t="shared" si="33"/>
        <v>0</v>
      </c>
      <c r="M28" s="27"/>
      <c r="N28" s="27"/>
      <c r="O28" s="27">
        <f t="shared" si="34"/>
        <v>0</v>
      </c>
      <c r="P28" s="27"/>
      <c r="Q28" s="27"/>
      <c r="R28" s="27">
        <f t="shared" si="35"/>
        <v>0</v>
      </c>
      <c r="S28" s="27"/>
      <c r="T28" s="27"/>
      <c r="U28" s="29">
        <f t="shared" si="36"/>
        <v>0</v>
      </c>
      <c r="V28" s="28"/>
      <c r="W28" s="28"/>
      <c r="X28" s="29">
        <f t="shared" si="37"/>
        <v>0</v>
      </c>
      <c r="Y28" s="27"/>
      <c r="Z28" s="27"/>
      <c r="AA28" s="29">
        <f t="shared" si="38"/>
        <v>0</v>
      </c>
      <c r="AB28" s="27"/>
      <c r="AC28" s="27"/>
      <c r="AD28" s="29">
        <f t="shared" si="39"/>
        <v>0</v>
      </c>
      <c r="AE28" s="27"/>
      <c r="AF28" s="27"/>
      <c r="AG28" s="29">
        <f t="shared" si="40"/>
        <v>0</v>
      </c>
      <c r="AH28" s="27"/>
      <c r="AI28" s="27"/>
      <c r="AJ28" s="29">
        <f t="shared" si="41"/>
        <v>0</v>
      </c>
      <c r="AK28" s="27"/>
      <c r="AL28" s="27"/>
      <c r="AM28" s="29">
        <f t="shared" si="42"/>
        <v>0</v>
      </c>
      <c r="AN28" s="14">
        <f t="shared" si="43"/>
        <v>0</v>
      </c>
      <c r="AO28" s="14">
        <f t="shared" si="44"/>
        <v>0</v>
      </c>
      <c r="AP28" s="14">
        <f t="shared" si="45"/>
        <v>0</v>
      </c>
      <c r="AQ28" s="3"/>
      <c r="AR28" s="3"/>
      <c r="AS28" s="6"/>
      <c r="AT28" s="3"/>
    </row>
    <row r="29" spans="1:46" ht="15" customHeight="1" x14ac:dyDescent="0.25">
      <c r="A29" s="44"/>
      <c r="B29" s="45"/>
      <c r="C29" s="46"/>
      <c r="D29" s="27"/>
      <c r="E29" s="27"/>
      <c r="F29" s="27">
        <f t="shared" si="31"/>
        <v>0</v>
      </c>
      <c r="G29" s="27"/>
      <c r="H29" s="27"/>
      <c r="I29" s="27">
        <f t="shared" si="32"/>
        <v>0</v>
      </c>
      <c r="J29" s="27"/>
      <c r="K29" s="27"/>
      <c r="L29" s="27">
        <f t="shared" si="33"/>
        <v>0</v>
      </c>
      <c r="M29" s="27"/>
      <c r="N29" s="27"/>
      <c r="O29" s="27">
        <f t="shared" si="34"/>
        <v>0</v>
      </c>
      <c r="P29" s="27"/>
      <c r="Q29" s="27"/>
      <c r="R29" s="27">
        <f t="shared" si="35"/>
        <v>0</v>
      </c>
      <c r="S29" s="27"/>
      <c r="T29" s="27"/>
      <c r="U29" s="29">
        <f t="shared" si="36"/>
        <v>0</v>
      </c>
      <c r="V29" s="28"/>
      <c r="W29" s="28"/>
      <c r="X29" s="29">
        <f t="shared" si="37"/>
        <v>0</v>
      </c>
      <c r="Y29" s="27"/>
      <c r="Z29" s="27"/>
      <c r="AA29" s="29">
        <f t="shared" si="38"/>
        <v>0</v>
      </c>
      <c r="AB29" s="27"/>
      <c r="AC29" s="27"/>
      <c r="AD29" s="29">
        <f t="shared" si="39"/>
        <v>0</v>
      </c>
      <c r="AE29" s="27"/>
      <c r="AF29" s="27"/>
      <c r="AG29" s="29">
        <f t="shared" si="40"/>
        <v>0</v>
      </c>
      <c r="AH29" s="27"/>
      <c r="AI29" s="27"/>
      <c r="AJ29" s="29">
        <f t="shared" si="41"/>
        <v>0</v>
      </c>
      <c r="AK29" s="27"/>
      <c r="AL29" s="27"/>
      <c r="AM29" s="29">
        <f t="shared" si="42"/>
        <v>0</v>
      </c>
      <c r="AN29" s="14">
        <f t="shared" si="43"/>
        <v>0</v>
      </c>
      <c r="AO29" s="14">
        <f t="shared" si="44"/>
        <v>0</v>
      </c>
      <c r="AP29" s="14">
        <f t="shared" si="45"/>
        <v>0</v>
      </c>
      <c r="AQ29" s="3"/>
      <c r="AR29" s="3"/>
      <c r="AS29" s="6"/>
      <c r="AT29" s="3"/>
    </row>
    <row r="30" spans="1:46" ht="15" customHeight="1" x14ac:dyDescent="0.25">
      <c r="A30" s="44"/>
      <c r="B30" s="45"/>
      <c r="C30" s="46"/>
      <c r="D30" s="27"/>
      <c r="E30" s="27"/>
      <c r="F30" s="27">
        <f t="shared" si="31"/>
        <v>0</v>
      </c>
      <c r="G30" s="27"/>
      <c r="H30" s="27"/>
      <c r="I30" s="27">
        <f t="shared" si="32"/>
        <v>0</v>
      </c>
      <c r="J30" s="27"/>
      <c r="K30" s="27"/>
      <c r="L30" s="27">
        <f t="shared" si="33"/>
        <v>0</v>
      </c>
      <c r="M30" s="27"/>
      <c r="N30" s="27"/>
      <c r="O30" s="27">
        <f t="shared" si="34"/>
        <v>0</v>
      </c>
      <c r="P30" s="27"/>
      <c r="Q30" s="27"/>
      <c r="R30" s="27">
        <f t="shared" si="35"/>
        <v>0</v>
      </c>
      <c r="S30" s="27"/>
      <c r="T30" s="27"/>
      <c r="U30" s="29">
        <f t="shared" si="36"/>
        <v>0</v>
      </c>
      <c r="V30" s="28"/>
      <c r="W30" s="28"/>
      <c r="X30" s="29">
        <f t="shared" si="37"/>
        <v>0</v>
      </c>
      <c r="Y30" s="27"/>
      <c r="Z30" s="27"/>
      <c r="AA30" s="29">
        <f t="shared" si="38"/>
        <v>0</v>
      </c>
      <c r="AB30" s="27"/>
      <c r="AC30" s="27"/>
      <c r="AD30" s="29">
        <f t="shared" si="39"/>
        <v>0</v>
      </c>
      <c r="AE30" s="27"/>
      <c r="AF30" s="27"/>
      <c r="AG30" s="29">
        <f t="shared" si="40"/>
        <v>0</v>
      </c>
      <c r="AH30" s="27"/>
      <c r="AI30" s="27"/>
      <c r="AJ30" s="29">
        <f t="shared" si="41"/>
        <v>0</v>
      </c>
      <c r="AK30" s="27"/>
      <c r="AL30" s="27"/>
      <c r="AM30" s="29">
        <f t="shared" si="42"/>
        <v>0</v>
      </c>
      <c r="AN30" s="14">
        <f t="shared" si="43"/>
        <v>0</v>
      </c>
      <c r="AO30" s="14">
        <f t="shared" si="44"/>
        <v>0</v>
      </c>
      <c r="AP30" s="14">
        <f t="shared" si="45"/>
        <v>0</v>
      </c>
      <c r="AQ30" s="3"/>
      <c r="AR30" s="3"/>
      <c r="AS30" s="6"/>
      <c r="AT30" s="3"/>
    </row>
    <row r="31" spans="1:46" ht="15" customHeight="1" x14ac:dyDescent="0.25">
      <c r="A31" s="44"/>
      <c r="B31" s="45"/>
      <c r="C31" s="46"/>
      <c r="D31" s="27"/>
      <c r="E31" s="27"/>
      <c r="F31" s="27">
        <f t="shared" si="31"/>
        <v>0</v>
      </c>
      <c r="G31" s="27"/>
      <c r="H31" s="27"/>
      <c r="I31" s="27">
        <f t="shared" si="32"/>
        <v>0</v>
      </c>
      <c r="J31" s="27"/>
      <c r="K31" s="27"/>
      <c r="L31" s="27">
        <f t="shared" si="33"/>
        <v>0</v>
      </c>
      <c r="M31" s="27"/>
      <c r="N31" s="27"/>
      <c r="O31" s="27">
        <f t="shared" si="34"/>
        <v>0</v>
      </c>
      <c r="P31" s="27"/>
      <c r="Q31" s="27"/>
      <c r="R31" s="27">
        <f t="shared" si="35"/>
        <v>0</v>
      </c>
      <c r="S31" s="27"/>
      <c r="T31" s="27"/>
      <c r="U31" s="29">
        <f t="shared" si="36"/>
        <v>0</v>
      </c>
      <c r="V31" s="28"/>
      <c r="W31" s="28"/>
      <c r="X31" s="29">
        <f t="shared" si="37"/>
        <v>0</v>
      </c>
      <c r="Y31" s="27"/>
      <c r="Z31" s="27"/>
      <c r="AA31" s="29">
        <f t="shared" si="38"/>
        <v>0</v>
      </c>
      <c r="AB31" s="27"/>
      <c r="AC31" s="27"/>
      <c r="AD31" s="29">
        <f t="shared" si="39"/>
        <v>0</v>
      </c>
      <c r="AE31" s="27"/>
      <c r="AF31" s="27"/>
      <c r="AG31" s="29">
        <f t="shared" si="40"/>
        <v>0</v>
      </c>
      <c r="AH31" s="27"/>
      <c r="AI31" s="27"/>
      <c r="AJ31" s="29">
        <f t="shared" si="41"/>
        <v>0</v>
      </c>
      <c r="AK31" s="27"/>
      <c r="AL31" s="27"/>
      <c r="AM31" s="29">
        <f t="shared" si="42"/>
        <v>0</v>
      </c>
      <c r="AN31" s="14">
        <f t="shared" si="43"/>
        <v>0</v>
      </c>
      <c r="AO31" s="14">
        <f t="shared" si="44"/>
        <v>0</v>
      </c>
      <c r="AP31" s="14">
        <f t="shared" si="45"/>
        <v>0</v>
      </c>
      <c r="AQ31" s="3"/>
      <c r="AR31" s="3"/>
      <c r="AS31" s="6"/>
      <c r="AT31" s="3"/>
    </row>
    <row r="32" spans="1:46" ht="15" customHeight="1" x14ac:dyDescent="0.25">
      <c r="A32" s="44"/>
      <c r="B32" s="45"/>
      <c r="C32" s="46"/>
      <c r="D32" s="27"/>
      <c r="E32" s="27"/>
      <c r="F32" s="27">
        <f t="shared" si="31"/>
        <v>0</v>
      </c>
      <c r="G32" s="27"/>
      <c r="H32" s="27"/>
      <c r="I32" s="27">
        <f t="shared" si="32"/>
        <v>0</v>
      </c>
      <c r="J32" s="27"/>
      <c r="K32" s="27"/>
      <c r="L32" s="27">
        <f t="shared" si="33"/>
        <v>0</v>
      </c>
      <c r="M32" s="27"/>
      <c r="N32" s="27"/>
      <c r="O32" s="27">
        <f t="shared" si="34"/>
        <v>0</v>
      </c>
      <c r="P32" s="27"/>
      <c r="Q32" s="27"/>
      <c r="R32" s="27">
        <f t="shared" si="35"/>
        <v>0</v>
      </c>
      <c r="S32" s="27"/>
      <c r="T32" s="27"/>
      <c r="U32" s="29">
        <f t="shared" si="36"/>
        <v>0</v>
      </c>
      <c r="V32" s="28"/>
      <c r="W32" s="28"/>
      <c r="X32" s="29">
        <f t="shared" si="37"/>
        <v>0</v>
      </c>
      <c r="Y32" s="27"/>
      <c r="Z32" s="27"/>
      <c r="AA32" s="29">
        <f t="shared" si="38"/>
        <v>0</v>
      </c>
      <c r="AB32" s="27"/>
      <c r="AC32" s="27"/>
      <c r="AD32" s="29">
        <f t="shared" si="39"/>
        <v>0</v>
      </c>
      <c r="AE32" s="27"/>
      <c r="AF32" s="27"/>
      <c r="AG32" s="29">
        <f t="shared" si="40"/>
        <v>0</v>
      </c>
      <c r="AH32" s="27"/>
      <c r="AI32" s="27"/>
      <c r="AJ32" s="29">
        <f t="shared" si="41"/>
        <v>0</v>
      </c>
      <c r="AK32" s="27"/>
      <c r="AL32" s="27"/>
      <c r="AM32" s="29">
        <f t="shared" si="42"/>
        <v>0</v>
      </c>
      <c r="AN32" s="14">
        <f t="shared" si="43"/>
        <v>0</v>
      </c>
      <c r="AO32" s="14">
        <f t="shared" si="44"/>
        <v>0</v>
      </c>
      <c r="AP32" s="14">
        <f t="shared" si="45"/>
        <v>0</v>
      </c>
      <c r="AQ32" s="3"/>
      <c r="AR32" s="3"/>
      <c r="AS32" s="6"/>
      <c r="AT32" s="3"/>
    </row>
    <row r="33" spans="1:46" ht="15" customHeight="1" x14ac:dyDescent="0.25">
      <c r="A33" s="44"/>
      <c r="B33" s="45"/>
      <c r="C33" s="46"/>
      <c r="D33" s="27"/>
      <c r="E33" s="27"/>
      <c r="F33" s="27">
        <f t="shared" si="31"/>
        <v>0</v>
      </c>
      <c r="G33" s="27"/>
      <c r="H33" s="27"/>
      <c r="I33" s="27">
        <f t="shared" si="32"/>
        <v>0</v>
      </c>
      <c r="J33" s="27"/>
      <c r="K33" s="27"/>
      <c r="L33" s="27">
        <f t="shared" si="33"/>
        <v>0</v>
      </c>
      <c r="M33" s="27"/>
      <c r="N33" s="27"/>
      <c r="O33" s="27">
        <f t="shared" si="34"/>
        <v>0</v>
      </c>
      <c r="P33" s="27"/>
      <c r="Q33" s="27"/>
      <c r="R33" s="27">
        <f t="shared" si="35"/>
        <v>0</v>
      </c>
      <c r="S33" s="27"/>
      <c r="T33" s="27"/>
      <c r="U33" s="29">
        <f t="shared" si="36"/>
        <v>0</v>
      </c>
      <c r="V33" s="28"/>
      <c r="W33" s="28"/>
      <c r="X33" s="29">
        <f t="shared" si="37"/>
        <v>0</v>
      </c>
      <c r="Y33" s="27"/>
      <c r="Z33" s="27"/>
      <c r="AA33" s="29">
        <f t="shared" si="38"/>
        <v>0</v>
      </c>
      <c r="AB33" s="27"/>
      <c r="AC33" s="27"/>
      <c r="AD33" s="29">
        <f t="shared" si="39"/>
        <v>0</v>
      </c>
      <c r="AE33" s="27"/>
      <c r="AF33" s="27"/>
      <c r="AG33" s="29">
        <f t="shared" si="40"/>
        <v>0</v>
      </c>
      <c r="AH33" s="27"/>
      <c r="AI33" s="27"/>
      <c r="AJ33" s="29">
        <f t="shared" si="41"/>
        <v>0</v>
      </c>
      <c r="AK33" s="27"/>
      <c r="AL33" s="27"/>
      <c r="AM33" s="29">
        <f t="shared" si="42"/>
        <v>0</v>
      </c>
      <c r="AN33" s="14">
        <f t="shared" si="43"/>
        <v>0</v>
      </c>
      <c r="AO33" s="14">
        <f t="shared" si="44"/>
        <v>0</v>
      </c>
      <c r="AP33" s="14">
        <f t="shared" si="45"/>
        <v>0</v>
      </c>
      <c r="AQ33" s="3"/>
      <c r="AR33" s="3"/>
      <c r="AS33" s="6"/>
      <c r="AT33" s="3"/>
    </row>
    <row r="34" spans="1:46" ht="15" customHeight="1" x14ac:dyDescent="0.25">
      <c r="A34" s="44"/>
      <c r="B34" s="45"/>
      <c r="C34" s="46"/>
      <c r="D34" s="27"/>
      <c r="E34" s="27"/>
      <c r="F34" s="27">
        <f t="shared" si="31"/>
        <v>0</v>
      </c>
      <c r="G34" s="27"/>
      <c r="H34" s="27"/>
      <c r="I34" s="27">
        <f t="shared" si="32"/>
        <v>0</v>
      </c>
      <c r="J34" s="27"/>
      <c r="K34" s="27"/>
      <c r="L34" s="27">
        <f t="shared" si="33"/>
        <v>0</v>
      </c>
      <c r="M34" s="27"/>
      <c r="N34" s="27"/>
      <c r="O34" s="27">
        <f t="shared" si="34"/>
        <v>0</v>
      </c>
      <c r="P34" s="27"/>
      <c r="Q34" s="27"/>
      <c r="R34" s="27">
        <f t="shared" si="35"/>
        <v>0</v>
      </c>
      <c r="S34" s="27"/>
      <c r="T34" s="27"/>
      <c r="U34" s="29">
        <f t="shared" si="36"/>
        <v>0</v>
      </c>
      <c r="V34" s="28"/>
      <c r="W34" s="28"/>
      <c r="X34" s="29">
        <f t="shared" si="37"/>
        <v>0</v>
      </c>
      <c r="Y34" s="27"/>
      <c r="Z34" s="27"/>
      <c r="AA34" s="29">
        <f t="shared" si="38"/>
        <v>0</v>
      </c>
      <c r="AB34" s="27"/>
      <c r="AC34" s="27"/>
      <c r="AD34" s="29">
        <f t="shared" si="39"/>
        <v>0</v>
      </c>
      <c r="AE34" s="27"/>
      <c r="AF34" s="27"/>
      <c r="AG34" s="29">
        <f t="shared" si="40"/>
        <v>0</v>
      </c>
      <c r="AH34" s="27"/>
      <c r="AI34" s="27"/>
      <c r="AJ34" s="29">
        <f t="shared" si="41"/>
        <v>0</v>
      </c>
      <c r="AK34" s="27"/>
      <c r="AL34" s="27"/>
      <c r="AM34" s="29">
        <f t="shared" si="42"/>
        <v>0</v>
      </c>
      <c r="AN34" s="14">
        <f t="shared" si="43"/>
        <v>0</v>
      </c>
      <c r="AO34" s="14">
        <f t="shared" si="44"/>
        <v>0</v>
      </c>
      <c r="AP34" s="14">
        <f t="shared" si="45"/>
        <v>0</v>
      </c>
      <c r="AQ34" s="3"/>
      <c r="AR34" s="3"/>
      <c r="AS34" s="6"/>
      <c r="AT34" s="3"/>
    </row>
    <row r="35" spans="1:46" ht="15" customHeight="1" x14ac:dyDescent="0.25">
      <c r="A35" s="44"/>
      <c r="B35" s="45"/>
      <c r="C35" s="46"/>
      <c r="D35" s="27"/>
      <c r="E35" s="27"/>
      <c r="F35" s="27">
        <f t="shared" si="31"/>
        <v>0</v>
      </c>
      <c r="G35" s="27"/>
      <c r="H35" s="27"/>
      <c r="I35" s="27">
        <f t="shared" si="32"/>
        <v>0</v>
      </c>
      <c r="J35" s="27"/>
      <c r="K35" s="27"/>
      <c r="L35" s="27">
        <f t="shared" si="33"/>
        <v>0</v>
      </c>
      <c r="M35" s="27"/>
      <c r="N35" s="27"/>
      <c r="O35" s="27">
        <f t="shared" si="34"/>
        <v>0</v>
      </c>
      <c r="P35" s="27"/>
      <c r="Q35" s="27"/>
      <c r="R35" s="27">
        <f t="shared" si="35"/>
        <v>0</v>
      </c>
      <c r="S35" s="27"/>
      <c r="T35" s="27"/>
      <c r="U35" s="29">
        <f t="shared" si="36"/>
        <v>0</v>
      </c>
      <c r="V35" s="28"/>
      <c r="W35" s="28"/>
      <c r="X35" s="29">
        <f t="shared" si="37"/>
        <v>0</v>
      </c>
      <c r="Y35" s="27"/>
      <c r="Z35" s="27"/>
      <c r="AA35" s="29">
        <f t="shared" si="38"/>
        <v>0</v>
      </c>
      <c r="AB35" s="27"/>
      <c r="AC35" s="27"/>
      <c r="AD35" s="29">
        <f t="shared" si="39"/>
        <v>0</v>
      </c>
      <c r="AE35" s="27"/>
      <c r="AF35" s="27"/>
      <c r="AG35" s="29">
        <f t="shared" si="40"/>
        <v>0</v>
      </c>
      <c r="AH35" s="27"/>
      <c r="AI35" s="27"/>
      <c r="AJ35" s="29">
        <f t="shared" si="41"/>
        <v>0</v>
      </c>
      <c r="AK35" s="27"/>
      <c r="AL35" s="27"/>
      <c r="AM35" s="29">
        <f t="shared" si="42"/>
        <v>0</v>
      </c>
      <c r="AN35" s="14">
        <f t="shared" si="43"/>
        <v>0</v>
      </c>
      <c r="AO35" s="14">
        <f t="shared" si="44"/>
        <v>0</v>
      </c>
      <c r="AP35" s="14">
        <f t="shared" si="45"/>
        <v>0</v>
      </c>
      <c r="AQ35" s="3"/>
      <c r="AR35" s="3"/>
      <c r="AS35" s="6"/>
      <c r="AT35" s="3"/>
    </row>
    <row r="36" spans="1:46" ht="15" customHeight="1" x14ac:dyDescent="0.25">
      <c r="A36" s="44"/>
      <c r="B36" s="45"/>
      <c r="C36" s="46"/>
      <c r="D36" s="27"/>
      <c r="E36" s="27"/>
      <c r="F36" s="27">
        <f t="shared" si="31"/>
        <v>0</v>
      </c>
      <c r="G36" s="27"/>
      <c r="H36" s="27"/>
      <c r="I36" s="27">
        <f t="shared" si="32"/>
        <v>0</v>
      </c>
      <c r="J36" s="27"/>
      <c r="K36" s="27"/>
      <c r="L36" s="27">
        <f t="shared" si="33"/>
        <v>0</v>
      </c>
      <c r="M36" s="27"/>
      <c r="N36" s="27"/>
      <c r="O36" s="27">
        <f t="shared" si="34"/>
        <v>0</v>
      </c>
      <c r="P36" s="27"/>
      <c r="Q36" s="27"/>
      <c r="R36" s="27">
        <f t="shared" si="35"/>
        <v>0</v>
      </c>
      <c r="S36" s="27"/>
      <c r="T36" s="27"/>
      <c r="U36" s="29">
        <f t="shared" si="36"/>
        <v>0</v>
      </c>
      <c r="V36" s="28"/>
      <c r="W36" s="28"/>
      <c r="X36" s="29">
        <f t="shared" si="37"/>
        <v>0</v>
      </c>
      <c r="Y36" s="27"/>
      <c r="Z36" s="27"/>
      <c r="AA36" s="29">
        <f t="shared" si="38"/>
        <v>0</v>
      </c>
      <c r="AB36" s="27"/>
      <c r="AC36" s="27"/>
      <c r="AD36" s="29">
        <f t="shared" si="39"/>
        <v>0</v>
      </c>
      <c r="AE36" s="27"/>
      <c r="AF36" s="27"/>
      <c r="AG36" s="29">
        <f t="shared" si="40"/>
        <v>0</v>
      </c>
      <c r="AH36" s="27"/>
      <c r="AI36" s="27"/>
      <c r="AJ36" s="29">
        <f t="shared" si="41"/>
        <v>0</v>
      </c>
      <c r="AK36" s="27"/>
      <c r="AL36" s="27"/>
      <c r="AM36" s="29">
        <f t="shared" si="42"/>
        <v>0</v>
      </c>
      <c r="AN36" s="14">
        <f t="shared" si="43"/>
        <v>0</v>
      </c>
      <c r="AO36" s="14">
        <f t="shared" si="44"/>
        <v>0</v>
      </c>
      <c r="AP36" s="14">
        <f t="shared" si="45"/>
        <v>0</v>
      </c>
      <c r="AQ36" s="3"/>
      <c r="AR36" s="3"/>
      <c r="AS36" s="6"/>
      <c r="AT36" s="3"/>
    </row>
    <row r="37" spans="1:46" ht="15" customHeight="1" x14ac:dyDescent="0.25">
      <c r="A37" s="44"/>
      <c r="B37" s="45"/>
      <c r="C37" s="46"/>
      <c r="D37" s="27"/>
      <c r="E37" s="27"/>
      <c r="F37" s="27">
        <f t="shared" si="31"/>
        <v>0</v>
      </c>
      <c r="G37" s="27"/>
      <c r="H37" s="27"/>
      <c r="I37" s="27">
        <f t="shared" si="32"/>
        <v>0</v>
      </c>
      <c r="J37" s="27"/>
      <c r="K37" s="27"/>
      <c r="L37" s="27">
        <f t="shared" si="33"/>
        <v>0</v>
      </c>
      <c r="M37" s="27"/>
      <c r="N37" s="27"/>
      <c r="O37" s="27">
        <f t="shared" si="34"/>
        <v>0</v>
      </c>
      <c r="P37" s="27"/>
      <c r="Q37" s="27"/>
      <c r="R37" s="27">
        <f t="shared" si="35"/>
        <v>0</v>
      </c>
      <c r="S37" s="27"/>
      <c r="T37" s="27"/>
      <c r="U37" s="29">
        <f t="shared" si="36"/>
        <v>0</v>
      </c>
      <c r="V37" s="28"/>
      <c r="W37" s="28"/>
      <c r="X37" s="29">
        <f t="shared" si="37"/>
        <v>0</v>
      </c>
      <c r="Y37" s="27"/>
      <c r="Z37" s="27"/>
      <c r="AA37" s="29">
        <f t="shared" si="38"/>
        <v>0</v>
      </c>
      <c r="AB37" s="27"/>
      <c r="AC37" s="27"/>
      <c r="AD37" s="29">
        <f t="shared" si="39"/>
        <v>0</v>
      </c>
      <c r="AE37" s="27"/>
      <c r="AF37" s="27"/>
      <c r="AG37" s="29">
        <f t="shared" si="40"/>
        <v>0</v>
      </c>
      <c r="AH37" s="27"/>
      <c r="AI37" s="27"/>
      <c r="AJ37" s="29">
        <f t="shared" si="41"/>
        <v>0</v>
      </c>
      <c r="AK37" s="27"/>
      <c r="AL37" s="27"/>
      <c r="AM37" s="29">
        <f t="shared" si="42"/>
        <v>0</v>
      </c>
      <c r="AN37" s="14">
        <f t="shared" si="43"/>
        <v>0</v>
      </c>
      <c r="AO37" s="14">
        <f t="shared" si="44"/>
        <v>0</v>
      </c>
      <c r="AP37" s="14">
        <f t="shared" si="45"/>
        <v>0</v>
      </c>
      <c r="AQ37" s="3"/>
      <c r="AR37" s="3"/>
      <c r="AS37" s="6"/>
      <c r="AT37" s="3"/>
    </row>
    <row r="38" spans="1:46" ht="15" customHeight="1" x14ac:dyDescent="0.25">
      <c r="A38" s="44"/>
      <c r="B38" s="45"/>
      <c r="C38" s="46"/>
      <c r="D38" s="27"/>
      <c r="E38" s="27"/>
      <c r="F38" s="27">
        <f t="shared" si="31"/>
        <v>0</v>
      </c>
      <c r="G38" s="27"/>
      <c r="H38" s="27"/>
      <c r="I38" s="27">
        <f t="shared" si="32"/>
        <v>0</v>
      </c>
      <c r="J38" s="27"/>
      <c r="K38" s="27"/>
      <c r="L38" s="27">
        <f t="shared" si="33"/>
        <v>0</v>
      </c>
      <c r="M38" s="27"/>
      <c r="N38" s="27"/>
      <c r="O38" s="27">
        <f t="shared" si="34"/>
        <v>0</v>
      </c>
      <c r="P38" s="27"/>
      <c r="Q38" s="27"/>
      <c r="R38" s="27">
        <f t="shared" si="35"/>
        <v>0</v>
      </c>
      <c r="S38" s="27"/>
      <c r="T38" s="27"/>
      <c r="U38" s="29">
        <f t="shared" si="36"/>
        <v>0</v>
      </c>
      <c r="V38" s="28"/>
      <c r="W38" s="28"/>
      <c r="X38" s="29">
        <f t="shared" si="37"/>
        <v>0</v>
      </c>
      <c r="Y38" s="27"/>
      <c r="Z38" s="27"/>
      <c r="AA38" s="29">
        <f t="shared" si="38"/>
        <v>0</v>
      </c>
      <c r="AB38" s="27"/>
      <c r="AC38" s="27"/>
      <c r="AD38" s="29">
        <f t="shared" si="39"/>
        <v>0</v>
      </c>
      <c r="AE38" s="27"/>
      <c r="AF38" s="27"/>
      <c r="AG38" s="29">
        <f t="shared" si="40"/>
        <v>0</v>
      </c>
      <c r="AH38" s="27"/>
      <c r="AI38" s="27"/>
      <c r="AJ38" s="29">
        <f t="shared" si="41"/>
        <v>0</v>
      </c>
      <c r="AK38" s="27"/>
      <c r="AL38" s="27"/>
      <c r="AM38" s="29">
        <f t="shared" si="42"/>
        <v>0</v>
      </c>
      <c r="AN38" s="14">
        <f t="shared" si="43"/>
        <v>0</v>
      </c>
      <c r="AO38" s="14">
        <f t="shared" si="44"/>
        <v>0</v>
      </c>
      <c r="AP38" s="14">
        <f t="shared" si="45"/>
        <v>0</v>
      </c>
      <c r="AQ38" s="3"/>
      <c r="AR38" s="3"/>
      <c r="AS38" s="6"/>
      <c r="AT38" s="3"/>
    </row>
    <row r="39" spans="1:46" ht="15" customHeight="1" x14ac:dyDescent="0.25">
      <c r="A39" s="44"/>
      <c r="B39" s="45"/>
      <c r="C39" s="46"/>
      <c r="D39" s="27"/>
      <c r="E39" s="27"/>
      <c r="F39" s="27">
        <f t="shared" si="31"/>
        <v>0</v>
      </c>
      <c r="G39" s="27"/>
      <c r="H39" s="27"/>
      <c r="I39" s="27">
        <f t="shared" si="32"/>
        <v>0</v>
      </c>
      <c r="J39" s="27"/>
      <c r="K39" s="27"/>
      <c r="L39" s="27">
        <f t="shared" si="33"/>
        <v>0</v>
      </c>
      <c r="M39" s="27"/>
      <c r="N39" s="27"/>
      <c r="O39" s="27">
        <f t="shared" si="34"/>
        <v>0</v>
      </c>
      <c r="P39" s="27"/>
      <c r="Q39" s="27"/>
      <c r="R39" s="27">
        <f t="shared" si="35"/>
        <v>0</v>
      </c>
      <c r="S39" s="27"/>
      <c r="T39" s="27"/>
      <c r="U39" s="29">
        <f t="shared" si="36"/>
        <v>0</v>
      </c>
      <c r="V39" s="28"/>
      <c r="W39" s="28"/>
      <c r="X39" s="29">
        <f t="shared" si="37"/>
        <v>0</v>
      </c>
      <c r="Y39" s="27"/>
      <c r="Z39" s="27"/>
      <c r="AA39" s="29">
        <f t="shared" si="38"/>
        <v>0</v>
      </c>
      <c r="AB39" s="27"/>
      <c r="AC39" s="27"/>
      <c r="AD39" s="29">
        <f t="shared" si="39"/>
        <v>0</v>
      </c>
      <c r="AE39" s="27"/>
      <c r="AF39" s="27"/>
      <c r="AG39" s="29">
        <f t="shared" si="40"/>
        <v>0</v>
      </c>
      <c r="AH39" s="27"/>
      <c r="AI39" s="27"/>
      <c r="AJ39" s="29">
        <f t="shared" si="41"/>
        <v>0</v>
      </c>
      <c r="AK39" s="27"/>
      <c r="AL39" s="27"/>
      <c r="AM39" s="29">
        <f t="shared" si="42"/>
        <v>0</v>
      </c>
      <c r="AN39" s="14">
        <f t="shared" si="43"/>
        <v>0</v>
      </c>
      <c r="AO39" s="14">
        <f t="shared" si="44"/>
        <v>0</v>
      </c>
      <c r="AP39" s="14">
        <f t="shared" si="45"/>
        <v>0</v>
      </c>
      <c r="AQ39" s="3"/>
      <c r="AR39" s="3"/>
      <c r="AS39" s="6"/>
      <c r="AT39" s="3"/>
    </row>
    <row r="40" spans="1:46" ht="15" customHeight="1" x14ac:dyDescent="0.25">
      <c r="A40" s="44"/>
      <c r="B40" s="45"/>
      <c r="C40" s="46"/>
      <c r="D40" s="27"/>
      <c r="E40" s="27"/>
      <c r="F40" s="27">
        <f t="shared" si="31"/>
        <v>0</v>
      </c>
      <c r="G40" s="27"/>
      <c r="H40" s="27"/>
      <c r="I40" s="27">
        <f t="shared" si="32"/>
        <v>0</v>
      </c>
      <c r="J40" s="27"/>
      <c r="K40" s="27"/>
      <c r="L40" s="27">
        <f t="shared" si="33"/>
        <v>0</v>
      </c>
      <c r="M40" s="27"/>
      <c r="N40" s="27"/>
      <c r="O40" s="27">
        <f t="shared" si="34"/>
        <v>0</v>
      </c>
      <c r="P40" s="27"/>
      <c r="Q40" s="27"/>
      <c r="R40" s="27">
        <f t="shared" si="35"/>
        <v>0</v>
      </c>
      <c r="S40" s="27"/>
      <c r="T40" s="27"/>
      <c r="U40" s="29">
        <f t="shared" si="36"/>
        <v>0</v>
      </c>
      <c r="V40" s="28"/>
      <c r="W40" s="28"/>
      <c r="X40" s="29">
        <f t="shared" si="37"/>
        <v>0</v>
      </c>
      <c r="Y40" s="27"/>
      <c r="Z40" s="27"/>
      <c r="AA40" s="29">
        <f t="shared" si="38"/>
        <v>0</v>
      </c>
      <c r="AB40" s="27"/>
      <c r="AC40" s="27"/>
      <c r="AD40" s="29">
        <f t="shared" si="39"/>
        <v>0</v>
      </c>
      <c r="AE40" s="27"/>
      <c r="AF40" s="27"/>
      <c r="AG40" s="29">
        <f t="shared" si="40"/>
        <v>0</v>
      </c>
      <c r="AH40" s="27"/>
      <c r="AI40" s="27"/>
      <c r="AJ40" s="29">
        <f t="shared" si="41"/>
        <v>0</v>
      </c>
      <c r="AK40" s="27"/>
      <c r="AL40" s="27"/>
      <c r="AM40" s="29">
        <f t="shared" si="42"/>
        <v>0</v>
      </c>
      <c r="AN40" s="14">
        <f t="shared" si="43"/>
        <v>0</v>
      </c>
      <c r="AO40" s="14">
        <f t="shared" si="44"/>
        <v>0</v>
      </c>
      <c r="AP40" s="14">
        <f t="shared" si="45"/>
        <v>0</v>
      </c>
      <c r="AQ40" s="3"/>
      <c r="AR40" s="3"/>
      <c r="AS40" s="6"/>
      <c r="AT40" s="3"/>
    </row>
    <row r="41" spans="1:46" ht="15" customHeight="1" x14ac:dyDescent="0.25">
      <c r="A41" s="44"/>
      <c r="B41" s="45"/>
      <c r="C41" s="46"/>
      <c r="D41" s="27"/>
      <c r="E41" s="27"/>
      <c r="F41" s="27">
        <f t="shared" si="31"/>
        <v>0</v>
      </c>
      <c r="G41" s="27"/>
      <c r="H41" s="27"/>
      <c r="I41" s="27">
        <f t="shared" si="32"/>
        <v>0</v>
      </c>
      <c r="J41" s="27"/>
      <c r="K41" s="27"/>
      <c r="L41" s="27">
        <f t="shared" si="33"/>
        <v>0</v>
      </c>
      <c r="M41" s="27"/>
      <c r="N41" s="27"/>
      <c r="O41" s="27">
        <f t="shared" si="34"/>
        <v>0</v>
      </c>
      <c r="P41" s="27"/>
      <c r="Q41" s="27"/>
      <c r="R41" s="27">
        <f t="shared" si="35"/>
        <v>0</v>
      </c>
      <c r="S41" s="27"/>
      <c r="T41" s="27"/>
      <c r="U41" s="29">
        <f t="shared" si="36"/>
        <v>0</v>
      </c>
      <c r="V41" s="28"/>
      <c r="W41" s="28"/>
      <c r="X41" s="29">
        <f t="shared" si="37"/>
        <v>0</v>
      </c>
      <c r="Y41" s="27"/>
      <c r="Z41" s="27"/>
      <c r="AA41" s="29">
        <f t="shared" si="38"/>
        <v>0</v>
      </c>
      <c r="AB41" s="27"/>
      <c r="AC41" s="27"/>
      <c r="AD41" s="29">
        <f t="shared" si="39"/>
        <v>0</v>
      </c>
      <c r="AE41" s="27"/>
      <c r="AF41" s="27"/>
      <c r="AG41" s="29">
        <f t="shared" si="40"/>
        <v>0</v>
      </c>
      <c r="AH41" s="27"/>
      <c r="AI41" s="27"/>
      <c r="AJ41" s="29">
        <f t="shared" si="41"/>
        <v>0</v>
      </c>
      <c r="AK41" s="27"/>
      <c r="AL41" s="27"/>
      <c r="AM41" s="29">
        <f t="shared" si="42"/>
        <v>0</v>
      </c>
      <c r="AN41" s="14">
        <f t="shared" si="43"/>
        <v>0</v>
      </c>
      <c r="AO41" s="14">
        <f t="shared" si="44"/>
        <v>0</v>
      </c>
      <c r="AP41" s="14">
        <f t="shared" si="45"/>
        <v>0</v>
      </c>
      <c r="AQ41" s="3"/>
      <c r="AR41" s="3"/>
      <c r="AS41" s="6"/>
      <c r="AT41" s="3"/>
    </row>
    <row r="42" spans="1:46" ht="15" customHeight="1" x14ac:dyDescent="0.25">
      <c r="A42" s="44"/>
      <c r="B42" s="45"/>
      <c r="C42" s="46"/>
      <c r="D42" s="27"/>
      <c r="E42" s="27"/>
      <c r="F42" s="27">
        <f t="shared" si="31"/>
        <v>0</v>
      </c>
      <c r="G42" s="27"/>
      <c r="H42" s="27"/>
      <c r="I42" s="27">
        <f t="shared" si="32"/>
        <v>0</v>
      </c>
      <c r="J42" s="27"/>
      <c r="K42" s="27"/>
      <c r="L42" s="27">
        <f t="shared" si="33"/>
        <v>0</v>
      </c>
      <c r="M42" s="27"/>
      <c r="N42" s="27"/>
      <c r="O42" s="27">
        <f t="shared" si="34"/>
        <v>0</v>
      </c>
      <c r="P42" s="27"/>
      <c r="Q42" s="27"/>
      <c r="R42" s="27">
        <f t="shared" si="35"/>
        <v>0</v>
      </c>
      <c r="S42" s="27"/>
      <c r="T42" s="27"/>
      <c r="U42" s="29">
        <f t="shared" si="36"/>
        <v>0</v>
      </c>
      <c r="V42" s="28"/>
      <c r="W42" s="28"/>
      <c r="X42" s="29">
        <f t="shared" si="37"/>
        <v>0</v>
      </c>
      <c r="Y42" s="27"/>
      <c r="Z42" s="27"/>
      <c r="AA42" s="29">
        <f t="shared" si="38"/>
        <v>0</v>
      </c>
      <c r="AB42" s="27"/>
      <c r="AC42" s="27"/>
      <c r="AD42" s="29">
        <f t="shared" si="39"/>
        <v>0</v>
      </c>
      <c r="AE42" s="27"/>
      <c r="AF42" s="27"/>
      <c r="AG42" s="29">
        <f t="shared" si="40"/>
        <v>0</v>
      </c>
      <c r="AH42" s="27"/>
      <c r="AI42" s="27"/>
      <c r="AJ42" s="29">
        <f t="shared" si="41"/>
        <v>0</v>
      </c>
      <c r="AK42" s="27"/>
      <c r="AL42" s="27"/>
      <c r="AM42" s="29">
        <f t="shared" si="42"/>
        <v>0</v>
      </c>
      <c r="AN42" s="14">
        <f t="shared" si="43"/>
        <v>0</v>
      </c>
      <c r="AO42" s="14">
        <f t="shared" si="44"/>
        <v>0</v>
      </c>
      <c r="AP42" s="14">
        <f t="shared" si="45"/>
        <v>0</v>
      </c>
      <c r="AQ42" s="3"/>
      <c r="AR42" s="3"/>
      <c r="AS42" s="6"/>
      <c r="AT42" s="3"/>
    </row>
    <row r="43" spans="1:46" ht="15" customHeight="1" x14ac:dyDescent="0.25">
      <c r="A43" s="44"/>
      <c r="B43" s="45"/>
      <c r="C43" s="46"/>
      <c r="D43" s="27"/>
      <c r="E43" s="27"/>
      <c r="F43" s="27">
        <f t="shared" si="31"/>
        <v>0</v>
      </c>
      <c r="G43" s="27"/>
      <c r="H43" s="27"/>
      <c r="I43" s="27">
        <f t="shared" si="32"/>
        <v>0</v>
      </c>
      <c r="J43" s="27"/>
      <c r="K43" s="27"/>
      <c r="L43" s="27">
        <f t="shared" si="33"/>
        <v>0</v>
      </c>
      <c r="M43" s="27"/>
      <c r="N43" s="27"/>
      <c r="O43" s="27">
        <f t="shared" si="34"/>
        <v>0</v>
      </c>
      <c r="P43" s="27"/>
      <c r="Q43" s="27"/>
      <c r="R43" s="27">
        <f t="shared" si="35"/>
        <v>0</v>
      </c>
      <c r="S43" s="27"/>
      <c r="T43" s="27"/>
      <c r="U43" s="29">
        <f t="shared" si="36"/>
        <v>0</v>
      </c>
      <c r="V43" s="28"/>
      <c r="W43" s="28"/>
      <c r="X43" s="29">
        <f t="shared" si="37"/>
        <v>0</v>
      </c>
      <c r="Y43" s="27"/>
      <c r="Z43" s="27"/>
      <c r="AA43" s="29">
        <f t="shared" si="38"/>
        <v>0</v>
      </c>
      <c r="AB43" s="27"/>
      <c r="AC43" s="27"/>
      <c r="AD43" s="29">
        <f t="shared" si="39"/>
        <v>0</v>
      </c>
      <c r="AE43" s="27"/>
      <c r="AF43" s="27"/>
      <c r="AG43" s="29">
        <f t="shared" si="40"/>
        <v>0</v>
      </c>
      <c r="AH43" s="27"/>
      <c r="AI43" s="27"/>
      <c r="AJ43" s="29">
        <f t="shared" si="41"/>
        <v>0</v>
      </c>
      <c r="AK43" s="27"/>
      <c r="AL43" s="27"/>
      <c r="AM43" s="29">
        <f t="shared" si="42"/>
        <v>0</v>
      </c>
      <c r="AN43" s="14">
        <f t="shared" si="43"/>
        <v>0</v>
      </c>
      <c r="AO43" s="14">
        <f t="shared" si="44"/>
        <v>0</v>
      </c>
      <c r="AP43" s="14">
        <f t="shared" si="45"/>
        <v>0</v>
      </c>
      <c r="AQ43" s="3"/>
      <c r="AR43" s="3"/>
      <c r="AS43" s="6"/>
      <c r="AT43" s="3"/>
    </row>
    <row r="44" spans="1:46" ht="15" customHeight="1" x14ac:dyDescent="0.25">
      <c r="A44" s="44"/>
      <c r="B44" s="45"/>
      <c r="C44" s="46"/>
      <c r="D44" s="27"/>
      <c r="E44" s="27"/>
      <c r="F44" s="27">
        <f t="shared" si="31"/>
        <v>0</v>
      </c>
      <c r="G44" s="27"/>
      <c r="H44" s="27"/>
      <c r="I44" s="27">
        <f t="shared" si="32"/>
        <v>0</v>
      </c>
      <c r="J44" s="27"/>
      <c r="K44" s="27"/>
      <c r="L44" s="27">
        <f t="shared" si="33"/>
        <v>0</v>
      </c>
      <c r="M44" s="27"/>
      <c r="N44" s="27"/>
      <c r="O44" s="27">
        <f t="shared" si="34"/>
        <v>0</v>
      </c>
      <c r="P44" s="27"/>
      <c r="Q44" s="27"/>
      <c r="R44" s="27">
        <f t="shared" si="35"/>
        <v>0</v>
      </c>
      <c r="S44" s="27"/>
      <c r="T44" s="27"/>
      <c r="U44" s="29">
        <f t="shared" si="36"/>
        <v>0</v>
      </c>
      <c r="V44" s="28"/>
      <c r="W44" s="28"/>
      <c r="X44" s="29">
        <f t="shared" si="37"/>
        <v>0</v>
      </c>
      <c r="Y44" s="27"/>
      <c r="Z44" s="27"/>
      <c r="AA44" s="29">
        <f t="shared" si="38"/>
        <v>0</v>
      </c>
      <c r="AB44" s="27"/>
      <c r="AC44" s="27"/>
      <c r="AD44" s="29">
        <f t="shared" si="39"/>
        <v>0</v>
      </c>
      <c r="AE44" s="27"/>
      <c r="AF44" s="27"/>
      <c r="AG44" s="29">
        <f t="shared" si="40"/>
        <v>0</v>
      </c>
      <c r="AH44" s="27"/>
      <c r="AI44" s="27"/>
      <c r="AJ44" s="29">
        <f t="shared" si="41"/>
        <v>0</v>
      </c>
      <c r="AK44" s="27"/>
      <c r="AL44" s="27"/>
      <c r="AM44" s="29">
        <f t="shared" si="42"/>
        <v>0</v>
      </c>
      <c r="AN44" s="14">
        <f t="shared" si="43"/>
        <v>0</v>
      </c>
      <c r="AO44" s="14">
        <f t="shared" si="44"/>
        <v>0</v>
      </c>
      <c r="AP44" s="14">
        <f t="shared" si="45"/>
        <v>0</v>
      </c>
      <c r="AQ44" s="3"/>
      <c r="AR44" s="3"/>
      <c r="AS44" s="6"/>
      <c r="AT44" s="3"/>
    </row>
    <row r="45" spans="1:46" ht="15" customHeight="1" x14ac:dyDescent="0.25">
      <c r="A45" s="44"/>
      <c r="B45" s="45"/>
      <c r="C45" s="46"/>
      <c r="D45" s="27"/>
      <c r="E45" s="27"/>
      <c r="F45" s="27">
        <f t="shared" si="31"/>
        <v>0</v>
      </c>
      <c r="G45" s="27"/>
      <c r="H45" s="27"/>
      <c r="I45" s="27">
        <f t="shared" si="32"/>
        <v>0</v>
      </c>
      <c r="J45" s="27"/>
      <c r="K45" s="27"/>
      <c r="L45" s="27">
        <f t="shared" si="33"/>
        <v>0</v>
      </c>
      <c r="M45" s="27"/>
      <c r="N45" s="27"/>
      <c r="O45" s="27">
        <f t="shared" si="34"/>
        <v>0</v>
      </c>
      <c r="P45" s="27"/>
      <c r="Q45" s="27"/>
      <c r="R45" s="27">
        <f t="shared" si="35"/>
        <v>0</v>
      </c>
      <c r="S45" s="27"/>
      <c r="T45" s="27"/>
      <c r="U45" s="29">
        <f t="shared" si="36"/>
        <v>0</v>
      </c>
      <c r="V45" s="28"/>
      <c r="W45" s="28"/>
      <c r="X45" s="29">
        <f t="shared" si="37"/>
        <v>0</v>
      </c>
      <c r="Y45" s="27"/>
      <c r="Z45" s="27"/>
      <c r="AA45" s="29">
        <f t="shared" si="38"/>
        <v>0</v>
      </c>
      <c r="AB45" s="27"/>
      <c r="AC45" s="27"/>
      <c r="AD45" s="29">
        <f t="shared" si="39"/>
        <v>0</v>
      </c>
      <c r="AE45" s="27"/>
      <c r="AF45" s="27"/>
      <c r="AG45" s="29">
        <f t="shared" si="40"/>
        <v>0</v>
      </c>
      <c r="AH45" s="27"/>
      <c r="AI45" s="27"/>
      <c r="AJ45" s="29">
        <f t="shared" si="41"/>
        <v>0</v>
      </c>
      <c r="AK45" s="27"/>
      <c r="AL45" s="27"/>
      <c r="AM45" s="29">
        <f t="shared" si="42"/>
        <v>0</v>
      </c>
      <c r="AN45" s="14">
        <f t="shared" si="43"/>
        <v>0</v>
      </c>
      <c r="AO45" s="14">
        <f t="shared" si="44"/>
        <v>0</v>
      </c>
      <c r="AP45" s="14">
        <f t="shared" si="45"/>
        <v>0</v>
      </c>
      <c r="AQ45" s="3"/>
      <c r="AR45" s="3"/>
      <c r="AS45" s="6"/>
      <c r="AT45" s="3"/>
    </row>
    <row r="46" spans="1:46" s="13" customFormat="1" x14ac:dyDescent="0.25">
      <c r="A46" s="9"/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1"/>
      <c r="AQ46" s="12"/>
      <c r="AR46" s="12"/>
      <c r="AS46" s="12"/>
      <c r="AT46" s="12"/>
    </row>
    <row r="47" spans="1:46" x14ac:dyDescent="0.25">
      <c r="A47" s="8" t="s">
        <v>8</v>
      </c>
      <c r="B47" s="8"/>
      <c r="C47" s="8"/>
      <c r="D47" s="19">
        <f>SUM(D21:D45)</f>
        <v>0</v>
      </c>
      <c r="E47" s="19">
        <f>SUM(E21:E45)</f>
        <v>0</v>
      </c>
      <c r="F47" s="19">
        <f>SUM(F21:F45)</f>
        <v>0</v>
      </c>
      <c r="G47" s="19">
        <f t="shared" ref="G47:AP47" si="46">SUM(G21:G45)</f>
        <v>0</v>
      </c>
      <c r="H47" s="19">
        <f t="shared" si="46"/>
        <v>0</v>
      </c>
      <c r="I47" s="19">
        <f t="shared" si="46"/>
        <v>0</v>
      </c>
      <c r="J47" s="19">
        <f t="shared" si="46"/>
        <v>0</v>
      </c>
      <c r="K47" s="19">
        <f t="shared" si="46"/>
        <v>0</v>
      </c>
      <c r="L47" s="19">
        <f t="shared" si="46"/>
        <v>0</v>
      </c>
      <c r="M47" s="19">
        <f t="shared" si="46"/>
        <v>0</v>
      </c>
      <c r="N47" s="19">
        <f t="shared" si="46"/>
        <v>0</v>
      </c>
      <c r="O47" s="19">
        <f t="shared" si="46"/>
        <v>0</v>
      </c>
      <c r="P47" s="19">
        <f t="shared" si="46"/>
        <v>0</v>
      </c>
      <c r="Q47" s="19">
        <f t="shared" si="46"/>
        <v>0</v>
      </c>
      <c r="R47" s="19">
        <f t="shared" si="46"/>
        <v>0</v>
      </c>
      <c r="S47" s="19">
        <f t="shared" si="46"/>
        <v>0</v>
      </c>
      <c r="T47" s="19">
        <f t="shared" si="46"/>
        <v>0</v>
      </c>
      <c r="U47" s="19">
        <f t="shared" si="46"/>
        <v>0</v>
      </c>
      <c r="V47" s="19">
        <f t="shared" si="46"/>
        <v>0</v>
      </c>
      <c r="W47" s="19">
        <f t="shared" si="46"/>
        <v>0</v>
      </c>
      <c r="X47" s="19">
        <f t="shared" si="46"/>
        <v>0</v>
      </c>
      <c r="Y47" s="19">
        <f t="shared" si="46"/>
        <v>0</v>
      </c>
      <c r="Z47" s="19">
        <f t="shared" si="46"/>
        <v>0</v>
      </c>
      <c r="AA47" s="19">
        <f t="shared" si="46"/>
        <v>0</v>
      </c>
      <c r="AB47" s="19">
        <f t="shared" si="46"/>
        <v>0</v>
      </c>
      <c r="AC47" s="19">
        <f t="shared" si="46"/>
        <v>0</v>
      </c>
      <c r="AD47" s="19">
        <f t="shared" si="46"/>
        <v>0</v>
      </c>
      <c r="AE47" s="19">
        <f t="shared" si="46"/>
        <v>0</v>
      </c>
      <c r="AF47" s="19">
        <f t="shared" si="46"/>
        <v>0</v>
      </c>
      <c r="AG47" s="19">
        <f t="shared" si="46"/>
        <v>0</v>
      </c>
      <c r="AH47" s="19">
        <f t="shared" si="46"/>
        <v>0</v>
      </c>
      <c r="AI47" s="19">
        <f t="shared" si="46"/>
        <v>0</v>
      </c>
      <c r="AJ47" s="19">
        <f t="shared" si="46"/>
        <v>0</v>
      </c>
      <c r="AK47" s="19">
        <f t="shared" si="46"/>
        <v>0</v>
      </c>
      <c r="AL47" s="19">
        <f t="shared" si="46"/>
        <v>0</v>
      </c>
      <c r="AM47" s="19">
        <f t="shared" si="46"/>
        <v>0</v>
      </c>
      <c r="AN47" s="19">
        <f t="shared" si="46"/>
        <v>0</v>
      </c>
      <c r="AO47" s="19">
        <f t="shared" si="46"/>
        <v>0</v>
      </c>
      <c r="AP47" s="19">
        <f t="shared" si="46"/>
        <v>0</v>
      </c>
      <c r="AQ47" s="3"/>
      <c r="AR47" s="3"/>
      <c r="AS47" s="3"/>
      <c r="AT47" s="3"/>
    </row>
    <row r="48" spans="1:46" x14ac:dyDescent="0.25">
      <c r="A48" s="3"/>
      <c r="B48" s="3"/>
      <c r="C48" s="3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1"/>
      <c r="AQ48" s="3"/>
      <c r="AR48" s="3"/>
      <c r="AS48" s="3"/>
      <c r="AT48" s="3"/>
    </row>
    <row r="49" spans="1:46" ht="14.4" x14ac:dyDescent="0.3">
      <c r="A49" s="55" t="s">
        <v>9</v>
      </c>
      <c r="B49" s="56"/>
      <c r="C49" s="57"/>
      <c r="D49" s="51"/>
      <c r="E49" s="22">
        <f>D49</f>
        <v>0</v>
      </c>
      <c r="F49" s="22"/>
      <c r="G49" s="22">
        <f>D50</f>
        <v>0</v>
      </c>
      <c r="H49" s="22">
        <f>E50</f>
        <v>0</v>
      </c>
      <c r="I49" s="22"/>
      <c r="J49" s="22">
        <f t="shared" ref="J49:K49" si="47">G50</f>
        <v>0</v>
      </c>
      <c r="K49" s="22">
        <f t="shared" si="47"/>
        <v>0</v>
      </c>
      <c r="L49" s="22"/>
      <c r="M49" s="22">
        <f t="shared" ref="M49:N49" si="48">J50</f>
        <v>0</v>
      </c>
      <c r="N49" s="22">
        <f t="shared" si="48"/>
        <v>0</v>
      </c>
      <c r="O49" s="22"/>
      <c r="P49" s="22">
        <f t="shared" ref="P49:Q49" si="49">M50</f>
        <v>0</v>
      </c>
      <c r="Q49" s="22">
        <f t="shared" si="49"/>
        <v>0</v>
      </c>
      <c r="R49" s="22"/>
      <c r="S49" s="22">
        <f t="shared" ref="S49:T49" si="50">P50</f>
        <v>0</v>
      </c>
      <c r="T49" s="22">
        <f t="shared" si="50"/>
        <v>0</v>
      </c>
      <c r="U49" s="22"/>
      <c r="V49" s="22">
        <f t="shared" ref="V49:W49" si="51">S50</f>
        <v>0</v>
      </c>
      <c r="W49" s="22">
        <f t="shared" si="51"/>
        <v>0</v>
      </c>
      <c r="X49" s="22"/>
      <c r="Y49" s="22">
        <f t="shared" ref="Y49:Z49" si="52">V50</f>
        <v>0</v>
      </c>
      <c r="Z49" s="22">
        <f t="shared" si="52"/>
        <v>0</v>
      </c>
      <c r="AA49" s="22"/>
      <c r="AB49" s="22">
        <f t="shared" ref="AB49:AC49" si="53">Y50</f>
        <v>0</v>
      </c>
      <c r="AC49" s="22">
        <f t="shared" si="53"/>
        <v>0</v>
      </c>
      <c r="AD49" s="22"/>
      <c r="AE49" s="22">
        <f t="shared" ref="AE49:AF49" si="54">AB50</f>
        <v>0</v>
      </c>
      <c r="AF49" s="22">
        <f t="shared" si="54"/>
        <v>0</v>
      </c>
      <c r="AG49" s="22"/>
      <c r="AH49" s="22">
        <f t="shared" ref="AH49:AI49" si="55">AE50</f>
        <v>0</v>
      </c>
      <c r="AI49" s="22">
        <f t="shared" si="55"/>
        <v>0</v>
      </c>
      <c r="AJ49" s="22"/>
      <c r="AK49" s="22">
        <f t="shared" ref="AK49:AL49" si="56">AH50</f>
        <v>0</v>
      </c>
      <c r="AL49" s="22">
        <f t="shared" si="56"/>
        <v>0</v>
      </c>
      <c r="AM49" s="22"/>
      <c r="AN49" s="22">
        <f t="shared" ref="AN49:AO49" si="57">AK50</f>
        <v>0</v>
      </c>
      <c r="AO49" s="22">
        <f t="shared" si="57"/>
        <v>0</v>
      </c>
      <c r="AP49" s="22"/>
      <c r="AQ49" s="3"/>
      <c r="AR49" s="3"/>
      <c r="AS49" s="3"/>
      <c r="AT49" s="3"/>
    </row>
    <row r="50" spans="1:46" x14ac:dyDescent="0.25">
      <c r="A50" s="1" t="s">
        <v>10</v>
      </c>
      <c r="B50" s="1"/>
      <c r="C50" s="1"/>
      <c r="D50" s="23">
        <f>(D49+D18)-D47</f>
        <v>0</v>
      </c>
      <c r="E50" s="23">
        <f>E49+E18-E47</f>
        <v>0</v>
      </c>
      <c r="F50" s="23">
        <f>E50-D50</f>
        <v>0</v>
      </c>
      <c r="G50" s="23">
        <f t="shared" ref="G50" si="58">(G49+G18)-G47</f>
        <v>0</v>
      </c>
      <c r="H50" s="23">
        <f t="shared" ref="H50" si="59">H49+H18-H47</f>
        <v>0</v>
      </c>
      <c r="I50" s="23">
        <f t="shared" ref="I50" si="60">H50-G50</f>
        <v>0</v>
      </c>
      <c r="J50" s="23">
        <f t="shared" ref="J50:AN50" si="61">(J49+J18)-J47</f>
        <v>0</v>
      </c>
      <c r="K50" s="23">
        <f t="shared" ref="K50:AO50" si="62">K49+K18-K47</f>
        <v>0</v>
      </c>
      <c r="L50" s="23">
        <f t="shared" ref="L50" si="63">K50-J50</f>
        <v>0</v>
      </c>
      <c r="M50" s="23">
        <f t="shared" si="61"/>
        <v>0</v>
      </c>
      <c r="N50" s="23">
        <f t="shared" si="62"/>
        <v>0</v>
      </c>
      <c r="O50" s="23">
        <f t="shared" ref="O50" si="64">N50-M50</f>
        <v>0</v>
      </c>
      <c r="P50" s="23">
        <f t="shared" si="61"/>
        <v>0</v>
      </c>
      <c r="Q50" s="23">
        <f t="shared" si="62"/>
        <v>0</v>
      </c>
      <c r="R50" s="23">
        <f t="shared" ref="R50" si="65">Q50-P50</f>
        <v>0</v>
      </c>
      <c r="S50" s="23">
        <f t="shared" si="61"/>
        <v>0</v>
      </c>
      <c r="T50" s="23">
        <f t="shared" si="62"/>
        <v>0</v>
      </c>
      <c r="U50" s="23">
        <f t="shared" ref="U50" si="66">T50-S50</f>
        <v>0</v>
      </c>
      <c r="V50" s="23">
        <f t="shared" si="61"/>
        <v>0</v>
      </c>
      <c r="W50" s="23">
        <f t="shared" si="62"/>
        <v>0</v>
      </c>
      <c r="X50" s="23">
        <f t="shared" ref="X50" si="67">W50-V50</f>
        <v>0</v>
      </c>
      <c r="Y50" s="23">
        <f t="shared" si="61"/>
        <v>0</v>
      </c>
      <c r="Z50" s="23">
        <f t="shared" si="62"/>
        <v>0</v>
      </c>
      <c r="AA50" s="23">
        <f t="shared" ref="AA50" si="68">Z50-Y50</f>
        <v>0</v>
      </c>
      <c r="AB50" s="23">
        <f t="shared" si="61"/>
        <v>0</v>
      </c>
      <c r="AC50" s="23">
        <f t="shared" si="62"/>
        <v>0</v>
      </c>
      <c r="AD50" s="23">
        <f t="shared" ref="AD50" si="69">AC50-AB50</f>
        <v>0</v>
      </c>
      <c r="AE50" s="23">
        <f t="shared" si="61"/>
        <v>0</v>
      </c>
      <c r="AF50" s="23">
        <f t="shared" si="62"/>
        <v>0</v>
      </c>
      <c r="AG50" s="23">
        <f t="shared" ref="AG50" si="70">AF50-AE50</f>
        <v>0</v>
      </c>
      <c r="AH50" s="23">
        <f t="shared" si="61"/>
        <v>0</v>
      </c>
      <c r="AI50" s="23">
        <f t="shared" si="62"/>
        <v>0</v>
      </c>
      <c r="AJ50" s="23">
        <f t="shared" ref="AJ50" si="71">AI50-AH50</f>
        <v>0</v>
      </c>
      <c r="AK50" s="23">
        <f t="shared" si="61"/>
        <v>0</v>
      </c>
      <c r="AL50" s="23">
        <f t="shared" si="62"/>
        <v>0</v>
      </c>
      <c r="AM50" s="23">
        <f t="shared" ref="AM50" si="72">AL50-AK50</f>
        <v>0</v>
      </c>
      <c r="AN50" s="23">
        <f t="shared" si="61"/>
        <v>0</v>
      </c>
      <c r="AO50" s="23">
        <f t="shared" si="62"/>
        <v>0</v>
      </c>
      <c r="AP50" s="23">
        <f t="shared" ref="AP50" si="73">AO50-AN50</f>
        <v>0</v>
      </c>
      <c r="AQ50" s="3"/>
      <c r="AR50" s="3"/>
      <c r="AS50" s="3"/>
      <c r="AT50" s="3"/>
    </row>
    <row r="51" spans="1:4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spans="1:4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spans="1:4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spans="1:46" x14ac:dyDescent="0.25"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spans="1:46" x14ac:dyDescent="0.25"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spans="1:46" x14ac:dyDescent="0.25"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spans="1:46" x14ac:dyDescent="0.25"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spans="1:46" x14ac:dyDescent="0.25"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spans="1:46" x14ac:dyDescent="0.25"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spans="1:46" x14ac:dyDescent="0.25"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spans="1:46" x14ac:dyDescent="0.25"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</sheetData>
  <sheetProtection insertRows="0" deleteRows="0"/>
  <mergeCells count="15">
    <mergeCell ref="A49:C49"/>
    <mergeCell ref="A1:C2"/>
    <mergeCell ref="AN6:AP6"/>
    <mergeCell ref="D6:F6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</mergeCells>
  <conditionalFormatting sqref="C6">
    <cfRule type="cellIs" dxfId="16" priority="269" operator="lessThan">
      <formula>0</formula>
    </cfRule>
  </conditionalFormatting>
  <conditionalFormatting sqref="D50:AP50">
    <cfRule type="cellIs" dxfId="15" priority="270" stopIfTrue="1" operator="greaterThan">
      <formula>0</formula>
    </cfRule>
    <cfRule type="cellIs" dxfId="14" priority="271" stopIfTrue="1" operator="lessThan">
      <formula>0</formula>
    </cfRule>
  </conditionalFormatting>
  <conditionalFormatting sqref="F10:F18 I10:I18 L10:L18 O10:O18 R10:R18 U10:U18 X10:X18 AA10:AA18 AD10:AD18 AG10:AG18 AJ10:AJ18 AM10:AM18 AP10:AP18">
    <cfRule type="cellIs" dxfId="13" priority="12" operator="lessThan">
      <formula>0</formula>
    </cfRule>
  </conditionalFormatting>
  <conditionalFormatting sqref="F21:F45">
    <cfRule type="cellIs" dxfId="12" priority="268" operator="lessThan">
      <formula>0</formula>
    </cfRule>
  </conditionalFormatting>
  <conditionalFormatting sqref="I21:I45">
    <cfRule type="cellIs" dxfId="11" priority="267" operator="lessThan">
      <formula>0</formula>
    </cfRule>
  </conditionalFormatting>
  <conditionalFormatting sqref="L21:L45">
    <cfRule type="cellIs" dxfId="10" priority="266" operator="lessThan">
      <formula>0</formula>
    </cfRule>
  </conditionalFormatting>
  <conditionalFormatting sqref="O21:O45">
    <cfRule type="cellIs" dxfId="9" priority="265" operator="lessThan">
      <formula>0</formula>
    </cfRule>
  </conditionalFormatting>
  <conditionalFormatting sqref="R21:R45">
    <cfRule type="cellIs" dxfId="8" priority="264" operator="lessThan">
      <formula>0</formula>
    </cfRule>
  </conditionalFormatting>
  <conditionalFormatting sqref="U21:U45">
    <cfRule type="cellIs" dxfId="7" priority="263" operator="lessThan">
      <formula>0</formula>
    </cfRule>
  </conditionalFormatting>
  <conditionalFormatting sqref="X21:X45">
    <cfRule type="cellIs" dxfId="6" priority="162" operator="lessThan">
      <formula>0</formula>
    </cfRule>
  </conditionalFormatting>
  <conditionalFormatting sqref="AA21:AA45">
    <cfRule type="cellIs" dxfId="5" priority="136" operator="lessThan">
      <formula>0</formula>
    </cfRule>
  </conditionalFormatting>
  <conditionalFormatting sqref="AD21:AD45">
    <cfRule type="cellIs" dxfId="4" priority="135" operator="lessThan">
      <formula>0</formula>
    </cfRule>
  </conditionalFormatting>
  <conditionalFormatting sqref="AG21:AG45">
    <cfRule type="cellIs" dxfId="3" priority="134" operator="lessThan">
      <formula>0</formula>
    </cfRule>
  </conditionalFormatting>
  <conditionalFormatting sqref="AJ21:AJ45">
    <cfRule type="cellIs" dxfId="2" priority="133" operator="lessThan">
      <formula>0</formula>
    </cfRule>
  </conditionalFormatting>
  <conditionalFormatting sqref="AM21:AM45">
    <cfRule type="cellIs" dxfId="1" priority="132" operator="lessThan">
      <formula>0</formula>
    </cfRule>
  </conditionalFormatting>
  <conditionalFormatting sqref="AP21:AP45">
    <cfRule type="cellIs" dxfId="0" priority="256" operator="lessThan">
      <formula>0</formula>
    </cfRule>
  </conditionalFormatting>
  <dataValidations count="3">
    <dataValidation type="whole" operator="greaterThan" showInputMessage="1" showErrorMessage="1" sqref="D46:AO46" xr:uid="{7D8EA045-9DAB-4EB4-97DC-E54CECBDC4F8}">
      <formula1>0</formula1>
    </dataValidation>
    <dataValidation type="whole" operator="greaterThan" allowBlank="1" showInputMessage="1" showErrorMessage="1" sqref="D48:AO48" xr:uid="{B32A75C2-804A-4193-9E75-C99E41F53BBE}">
      <formula1>0</formula1>
    </dataValidation>
    <dataValidation showInputMessage="1" showErrorMessage="1" sqref="AP46 A10:A17 A21:AP45 D10:AP17" xr:uid="{21603F03-5B9F-4026-9416-41B3FDE21FBD}"/>
  </dataValidations>
  <pageMargins left="0.75" right="0.75" top="1" bottom="1" header="0.5" footer="0.5"/>
  <pageSetup paperSize="8" orientation="landscape" r:id="rId1"/>
  <headerFooter alignWithMargins="0">
    <oddFooter>&amp;C&amp;1#&amp;"Calibri"&amp;10&amp;K000000Confidential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5220-193B-4D5C-AC70-223E6FE0C938}">
  <sheetPr codeName="Sheet1"/>
  <dimension ref="A9:BE76"/>
  <sheetViews>
    <sheetView workbookViewId="0">
      <selection activeCell="A9" sqref="A9:Y17"/>
    </sheetView>
  </sheetViews>
  <sheetFormatPr defaultRowHeight="13.2" x14ac:dyDescent="0.25"/>
  <cols>
    <col min="1" max="1" width="10.88671875" bestFit="1" customWidth="1"/>
    <col min="2" max="2" width="17.88671875" bestFit="1" customWidth="1"/>
    <col min="3" max="3" width="19.5546875" bestFit="1" customWidth="1"/>
    <col min="4" max="4" width="17.88671875" bestFit="1" customWidth="1"/>
    <col min="5" max="5" width="19.5546875" bestFit="1" customWidth="1"/>
    <col min="6" max="6" width="17.88671875" bestFit="1" customWidth="1"/>
    <col min="7" max="7" width="19.5546875" bestFit="1" customWidth="1"/>
    <col min="8" max="8" width="17.88671875" bestFit="1" customWidth="1"/>
    <col min="9" max="9" width="19.5546875" bestFit="1" customWidth="1"/>
    <col min="10" max="10" width="17.88671875" bestFit="1" customWidth="1"/>
    <col min="11" max="11" width="19.5546875" bestFit="1" customWidth="1"/>
    <col min="12" max="12" width="17.88671875" bestFit="1" customWidth="1"/>
    <col min="13" max="13" width="19.5546875" bestFit="1" customWidth="1"/>
    <col min="14" max="14" width="17.88671875" bestFit="1" customWidth="1"/>
    <col min="15" max="15" width="19.5546875" bestFit="1" customWidth="1"/>
    <col min="16" max="16" width="17.88671875" bestFit="1" customWidth="1"/>
    <col min="17" max="17" width="19.5546875" bestFit="1" customWidth="1"/>
    <col min="18" max="18" width="17.88671875" bestFit="1" customWidth="1"/>
    <col min="19" max="19" width="19.5546875" bestFit="1" customWidth="1"/>
    <col min="20" max="20" width="19" bestFit="1" customWidth="1"/>
    <col min="21" max="21" width="20.5546875" bestFit="1" customWidth="1"/>
    <col min="22" max="22" width="19" bestFit="1" customWidth="1"/>
    <col min="23" max="23" width="20.5546875" bestFit="1" customWidth="1"/>
    <col min="24" max="24" width="19" bestFit="1" customWidth="1"/>
    <col min="25" max="25" width="20.5546875" bestFit="1" customWidth="1"/>
    <col min="26" max="26" width="17.88671875" bestFit="1" customWidth="1"/>
    <col min="27" max="27" width="19.5546875" bestFit="1" customWidth="1"/>
    <col min="28" max="28" width="17.88671875" bestFit="1" customWidth="1"/>
    <col min="29" max="29" width="19.5546875" bestFit="1" customWidth="1"/>
    <col min="30" max="30" width="17.88671875" bestFit="1" customWidth="1"/>
    <col min="31" max="31" width="19.5546875" bestFit="1" customWidth="1"/>
    <col min="32" max="32" width="17.88671875" bestFit="1" customWidth="1"/>
    <col min="33" max="33" width="19.5546875" bestFit="1" customWidth="1"/>
    <col min="34" max="34" width="17.88671875" bestFit="1" customWidth="1"/>
    <col min="35" max="35" width="19.5546875" bestFit="1" customWidth="1"/>
    <col min="36" max="36" width="17.88671875" bestFit="1" customWidth="1"/>
    <col min="37" max="37" width="19.5546875" bestFit="1" customWidth="1"/>
    <col min="38" max="38" width="17.88671875" bestFit="1" customWidth="1"/>
    <col min="39" max="39" width="19.5546875" bestFit="1" customWidth="1"/>
    <col min="40" max="40" width="17.88671875" bestFit="1" customWidth="1"/>
    <col min="41" max="41" width="19.5546875" bestFit="1" customWidth="1"/>
    <col min="42" max="42" width="17.88671875" bestFit="1" customWidth="1"/>
    <col min="43" max="43" width="19.5546875" bestFit="1" customWidth="1"/>
    <col min="44" max="44" width="19" bestFit="1" customWidth="1"/>
    <col min="45" max="45" width="20.5546875" bestFit="1" customWidth="1"/>
    <col min="46" max="46" width="19" bestFit="1" customWidth="1"/>
    <col min="47" max="47" width="20.5546875" bestFit="1" customWidth="1"/>
    <col min="48" max="48" width="19" bestFit="1" customWidth="1"/>
    <col min="49" max="49" width="20.5546875" bestFit="1" customWidth="1"/>
    <col min="50" max="50" width="20.44140625" bestFit="1" customWidth="1"/>
    <col min="51" max="51" width="21.88671875" bestFit="1" customWidth="1"/>
    <col min="52" max="52" width="14.44140625" bestFit="1" customWidth="1"/>
    <col min="53" max="53" width="21.33203125" bestFit="1" customWidth="1"/>
    <col min="54" max="54" width="23" bestFit="1" customWidth="1"/>
    <col min="55" max="55" width="15.5546875" bestFit="1" customWidth="1"/>
    <col min="56" max="56" width="21.33203125" bestFit="1" customWidth="1"/>
    <col min="57" max="57" width="23" bestFit="1" customWidth="1"/>
    <col min="58" max="58" width="15.5546875" bestFit="1" customWidth="1"/>
    <col min="59" max="59" width="21.33203125" bestFit="1" customWidth="1"/>
    <col min="60" max="60" width="23" bestFit="1" customWidth="1"/>
    <col min="61" max="61" width="15.5546875" bestFit="1" customWidth="1"/>
  </cols>
  <sheetData>
    <row r="9" spans="1:25" x14ac:dyDescent="0.25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44</v>
      </c>
      <c r="S9" t="s">
        <v>45</v>
      </c>
      <c r="T9" t="s">
        <v>46</v>
      </c>
      <c r="U9" t="s">
        <v>47</v>
      </c>
      <c r="V9" t="s">
        <v>48</v>
      </c>
      <c r="W9" t="s">
        <v>49</v>
      </c>
      <c r="X9" t="s">
        <v>50</v>
      </c>
      <c r="Y9" t="s">
        <v>51</v>
      </c>
    </row>
    <row r="15" spans="1:25" x14ac:dyDescent="0.25">
      <c r="A15" t="s">
        <v>27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 t="s">
        <v>33</v>
      </c>
      <c r="H15" t="s">
        <v>34</v>
      </c>
      <c r="I15" t="s">
        <v>35</v>
      </c>
      <c r="J15" t="s">
        <v>36</v>
      </c>
      <c r="K15" t="s">
        <v>37</v>
      </c>
      <c r="L15" t="s">
        <v>38</v>
      </c>
      <c r="M15" t="s">
        <v>39</v>
      </c>
      <c r="N15" t="s">
        <v>40</v>
      </c>
      <c r="O15" t="s">
        <v>41</v>
      </c>
      <c r="P15" t="s">
        <v>42</v>
      </c>
      <c r="Q15" t="s">
        <v>43</v>
      </c>
      <c r="R15" t="s">
        <v>44</v>
      </c>
      <c r="S15" t="s">
        <v>45</v>
      </c>
      <c r="T15" t="s">
        <v>46</v>
      </c>
      <c r="U15" t="s">
        <v>47</v>
      </c>
      <c r="V15" t="s">
        <v>48</v>
      </c>
      <c r="W15" t="s">
        <v>49</v>
      </c>
      <c r="X15" t="s">
        <v>50</v>
      </c>
      <c r="Y15" t="s">
        <v>51</v>
      </c>
    </row>
    <row r="22" spans="34:36" x14ac:dyDescent="0.25">
      <c r="AH22" s="47"/>
      <c r="AJ22" s="47"/>
    </row>
    <row r="47" spans="39:39" x14ac:dyDescent="0.25">
      <c r="AM47" s="47"/>
    </row>
    <row r="56" spans="30:57" x14ac:dyDescent="0.25">
      <c r="AY56" s="47"/>
    </row>
    <row r="59" spans="30:57" x14ac:dyDescent="0.25">
      <c r="AD59" s="47"/>
      <c r="AG59" s="47"/>
      <c r="AM59" s="47"/>
      <c r="AV59" s="47"/>
      <c r="AY59" s="47"/>
      <c r="BB59" s="47"/>
      <c r="BE59" s="47"/>
    </row>
    <row r="60" spans="30:57" x14ac:dyDescent="0.25">
      <c r="AM60" s="47"/>
      <c r="AS60" s="47"/>
      <c r="AV60" s="47"/>
    </row>
    <row r="61" spans="30:57" x14ac:dyDescent="0.25">
      <c r="AV61" s="47"/>
    </row>
    <row r="62" spans="30:57" x14ac:dyDescent="0.25">
      <c r="AD62" s="47"/>
    </row>
    <row r="64" spans="30:57" x14ac:dyDescent="0.25">
      <c r="AD64" s="47"/>
      <c r="AM64" s="47"/>
      <c r="AV64" s="47"/>
      <c r="AY64" s="47"/>
      <c r="BB64" s="47"/>
    </row>
    <row r="65" spans="28:54" x14ac:dyDescent="0.25">
      <c r="AG65" s="47"/>
    </row>
    <row r="67" spans="28:54" x14ac:dyDescent="0.25">
      <c r="AV67" s="47"/>
    </row>
    <row r="70" spans="28:54" x14ac:dyDescent="0.25">
      <c r="AV70" s="47"/>
      <c r="AY70" s="47"/>
      <c r="BB70" s="47"/>
    </row>
    <row r="74" spans="28:54" x14ac:dyDescent="0.25">
      <c r="AJ74" s="47"/>
      <c r="AY74" s="47"/>
    </row>
    <row r="76" spans="28:54" x14ac:dyDescent="0.25">
      <c r="AB76" s="47"/>
      <c r="AD76" s="47"/>
    </row>
  </sheetData>
  <phoneticPr fontId="8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08564EF430204BBC2007FA462E4E97" ma:contentTypeVersion="11" ma:contentTypeDescription="Create a new document." ma:contentTypeScope="" ma:versionID="d216bb9787a1a8d6df3003ade3010d84">
  <xsd:schema xmlns:xsd="http://www.w3.org/2001/XMLSchema" xmlns:xs="http://www.w3.org/2001/XMLSchema" xmlns:p="http://schemas.microsoft.com/office/2006/metadata/properties" xmlns:ns3="b987c922-8256-495b-945e-912075820e5c" xmlns:ns4="7c1e2221-a525-4067-9fdf-9930e2424c53" targetNamespace="http://schemas.microsoft.com/office/2006/metadata/properties" ma:root="true" ma:fieldsID="a5e95ff65965a9a42a19d90d58100970" ns3:_="" ns4:_="">
    <xsd:import namespace="b987c922-8256-495b-945e-912075820e5c"/>
    <xsd:import namespace="7c1e2221-a525-4067-9fdf-9930e2424c5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87c922-8256-495b-945e-912075820e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1e2221-a525-4067-9fdf-9930e2424c5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A90CDCBF-8E52-453B-B1FA-7590EDBAA2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87c922-8256-495b-945e-912075820e5c"/>
    <ds:schemaRef ds:uri="7c1e2221-a525-4067-9fdf-9930e2424c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FC24A7-21CD-452E-AC59-1CF58D2778A6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7c1e2221-a525-4067-9fdf-9930e2424c53"/>
    <ds:schemaRef ds:uri="http://schemas.microsoft.com/office/2006/documentManagement/types"/>
    <ds:schemaRef ds:uri="http://schemas.microsoft.com/office/infopath/2007/PartnerControls"/>
    <ds:schemaRef ds:uri="b987c922-8256-495b-945e-912075820e5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28EDD3C-1CC6-4912-91D3-80D82C1F3E3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125C57A-99D9-4D76-92CE-95DD676392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Opfølgning</vt:lpstr>
      <vt:lpstr>Data</vt:lpstr>
    </vt:vector>
  </TitlesOfParts>
  <Manager/>
  <Company>Nordea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Budget</dc:title>
  <dc:subject/>
  <dc:creator>Thomsen, Morten</dc:creator>
  <cp:keywords/>
  <dc:description/>
  <cp:lastModifiedBy>Philip Kjeldtoft Larsen</cp:lastModifiedBy>
  <cp:revision/>
  <cp:lastPrinted>2023-12-20T11:49:49Z</cp:lastPrinted>
  <dcterms:created xsi:type="dcterms:W3CDTF">2011-01-21T11:41:38Z</dcterms:created>
  <dcterms:modified xsi:type="dcterms:W3CDTF">2024-12-02T15:54:56Z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0x0101006D08564EF430204BBC2007FA462E4E97</vt:lpwstr>
  </property>
  <property fmtid="{D5CDD505-2E9C-101B-9397-08002B2CF9AE}" pid="4" name="MSIP_Label_400b7bbd-7ade-49ce-aa5e-23220b76cd08_Enabled">
    <vt:lpwstr>true</vt:lpwstr>
  </property>
  <property fmtid="{D5CDD505-2E9C-101B-9397-08002B2CF9AE}" pid="5" name="MSIP_Label_400b7bbd-7ade-49ce-aa5e-23220b76cd08_SetDate">
    <vt:lpwstr>2024-02-07T15:06:53Z</vt:lpwstr>
  </property>
  <property fmtid="{D5CDD505-2E9C-101B-9397-08002B2CF9AE}" pid="6" name="MSIP_Label_400b7bbd-7ade-49ce-aa5e-23220b76cd08_Method">
    <vt:lpwstr>Standard</vt:lpwstr>
  </property>
  <property fmtid="{D5CDD505-2E9C-101B-9397-08002B2CF9AE}" pid="7" name="MSIP_Label_400b7bbd-7ade-49ce-aa5e-23220b76cd08_Name">
    <vt:lpwstr>Confidential</vt:lpwstr>
  </property>
  <property fmtid="{D5CDD505-2E9C-101B-9397-08002B2CF9AE}" pid="8" name="MSIP_Label_400b7bbd-7ade-49ce-aa5e-23220b76cd08_SiteId">
    <vt:lpwstr>8beccd60-0be6-4025-8e24-ca9ae679e1f4</vt:lpwstr>
  </property>
  <property fmtid="{D5CDD505-2E9C-101B-9397-08002B2CF9AE}" pid="9" name="MSIP_Label_400b7bbd-7ade-49ce-aa5e-23220b76cd08_ActionId">
    <vt:lpwstr>d7e847dc-4287-4992-b456-ffdddc6da464</vt:lpwstr>
  </property>
  <property fmtid="{D5CDD505-2E9C-101B-9397-08002B2CF9AE}" pid="10" name="MSIP_Label_400b7bbd-7ade-49ce-aa5e-23220b76cd08_ContentBits">
    <vt:lpwstr>2</vt:lpwstr>
  </property>
</Properties>
</file>